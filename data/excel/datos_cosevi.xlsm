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MortalidadCR\"/>
    </mc:Choice>
  </mc:AlternateContent>
  <xr:revisionPtr revIDLastSave="0" documentId="13_ncr:1_{EFB07224-40C4-44B5-ABB5-56769024AFAC}" xr6:coauthVersionLast="47" xr6:coauthVersionMax="47" xr10:uidLastSave="{00000000-0000-0000-0000-000000000000}"/>
  <bookViews>
    <workbookView xWindow="-108" yWindow="-108" windowWidth="23256" windowHeight="12576" activeTab="2" xr2:uid="{A3FA92C1-F428-4079-A3C4-A9FB2A1519F3}"/>
  </bookViews>
  <sheets>
    <sheet name="Tabla" sheetId="1" r:id="rId1"/>
    <sheet name="Tablas Dinámicas" sheetId="2" r:id="rId2"/>
    <sheet name="Power Query" sheetId="5" r:id="rId3"/>
  </sheets>
  <definedNames>
    <definedName name="DatosExternos_1" localSheetId="2" hidden="1">'Power Query'!$A$1:$L$507</definedName>
  </definedNames>
  <calcPr calcId="181029"/>
  <pivotCaches>
    <pivotCache cacheId="47" r:id="rId4"/>
  </pivotCaches>
</workbook>
</file>

<file path=xl/calcChain.xml><?xml version="1.0" encoding="utf-8"?>
<calcChain xmlns="http://schemas.openxmlformats.org/spreadsheetml/2006/main">
  <c r="J507" i="1" l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G3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K1" authorId="0" shapeId="0" xr:uid="{FE7BF3F7-637D-4724-8FE7-FD78C8103B09}">
      <text>
        <r>
          <rPr>
            <b/>
            <sz val="9"/>
            <color indexed="81"/>
            <rFont val="Tahoma"/>
            <family val="2"/>
          </rPr>
          <t>Suma las muertes de motociclistas los días Sabado y Domingo si se cumplen las condiciones.</t>
        </r>
      </text>
    </comment>
    <comment ref="L1" authorId="0" shapeId="0" xr:uid="{E9BA3152-5E63-4EA1-B4DA-6C160E2978F3}">
      <text>
        <r>
          <rPr>
            <b/>
            <sz val="9"/>
            <color indexed="81"/>
            <rFont val="Tahoma"/>
            <family val="2"/>
          </rPr>
          <t>Función: Suma los menores de 19 años si se cumplen las condiciones.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9B796B-058F-48CA-8B74-EB5F5F7115A5}" keepAlive="1" name="Consulta - API_Cosevi" description="Conexión a la consulta 'API_Cosevi' en el libro." type="5" refreshedVersion="8" background="1" saveData="1">
    <dbPr connection="Provider=Microsoft.Mashup.OleDb.1;Data Source=$Workbook$;Location=API_Cosevi;Extended Properties=&quot;&quot;" command="SELECT * FROM [API_Cosevi]"/>
  </connection>
</connections>
</file>

<file path=xl/sharedStrings.xml><?xml version="1.0" encoding="utf-8"?>
<sst xmlns="http://schemas.openxmlformats.org/spreadsheetml/2006/main" count="8496" uniqueCount="168">
  <si>
    <t>Tipo de accidente</t>
  </si>
  <si>
    <t>Provincia</t>
  </si>
  <si>
    <t>Ruta</t>
  </si>
  <si>
    <t>Rol persona</t>
  </si>
  <si>
    <t>Sexo</t>
  </si>
  <si>
    <t>Edad</t>
  </si>
  <si>
    <t>Mes</t>
  </si>
  <si>
    <t>Edad quinquenal</t>
  </si>
  <si>
    <t>Colisión entre vehículos</t>
  </si>
  <si>
    <t>Guanacaste</t>
  </si>
  <si>
    <t>Santa Cruz</t>
  </si>
  <si>
    <t>Motociclista</t>
  </si>
  <si>
    <t>Hombre</t>
  </si>
  <si>
    <t>25 A 29</t>
  </si>
  <si>
    <t>Puntarenas</t>
  </si>
  <si>
    <t>Parrita</t>
  </si>
  <si>
    <t>Pasajero carro</t>
  </si>
  <si>
    <t>20 A 24</t>
  </si>
  <si>
    <t>Osa</t>
  </si>
  <si>
    <t>45 A 49</t>
  </si>
  <si>
    <t>Liberia</t>
  </si>
  <si>
    <t>30 A 34</t>
  </si>
  <si>
    <t>Salió de la vía</t>
  </si>
  <si>
    <t>Nicoya</t>
  </si>
  <si>
    <t>Cantonal o desconocida</t>
  </si>
  <si>
    <t>Conductor</t>
  </si>
  <si>
    <t>Abangares</t>
  </si>
  <si>
    <t>65 A 69</t>
  </si>
  <si>
    <t>40 A 44</t>
  </si>
  <si>
    <t>Alajuela</t>
  </si>
  <si>
    <t>Orotina</t>
  </si>
  <si>
    <t>15 A 19</t>
  </si>
  <si>
    <t>35 A 39</t>
  </si>
  <si>
    <t>Atropello a persona</t>
  </si>
  <si>
    <t>San José</t>
  </si>
  <si>
    <t>Mujer</t>
  </si>
  <si>
    <t>55 A 59</t>
  </si>
  <si>
    <t>Naranjo</t>
  </si>
  <si>
    <t>Colisión con bicicleta</t>
  </si>
  <si>
    <t>Ciclista</t>
  </si>
  <si>
    <t>Heredia</t>
  </si>
  <si>
    <t>Garabito</t>
  </si>
  <si>
    <t>75+</t>
  </si>
  <si>
    <t>10 A 14</t>
  </si>
  <si>
    <t>Desamparados</t>
  </si>
  <si>
    <t>Buenos Aires</t>
  </si>
  <si>
    <t>Colisión con objeto fijo</t>
  </si>
  <si>
    <t>Atenas</t>
  </si>
  <si>
    <t>San Carlos</t>
  </si>
  <si>
    <t>60 A 64</t>
  </si>
  <si>
    <t>Cartago</t>
  </si>
  <si>
    <t>Jiménez</t>
  </si>
  <si>
    <t>Carrillo</t>
  </si>
  <si>
    <t>heredia</t>
  </si>
  <si>
    <t>San Pablo</t>
  </si>
  <si>
    <t>hombre</t>
  </si>
  <si>
    <t>atropello a persona</t>
  </si>
  <si>
    <t>Los Chiles</t>
  </si>
  <si>
    <t>La Unión</t>
  </si>
  <si>
    <t>Acosta</t>
  </si>
  <si>
    <t>50 A 54</t>
  </si>
  <si>
    <t>Quepos</t>
  </si>
  <si>
    <t>Pasajero moto</t>
  </si>
  <si>
    <t>Nandayure</t>
  </si>
  <si>
    <t>Limón</t>
  </si>
  <si>
    <t>Guácimo</t>
  </si>
  <si>
    <t>Golfito</t>
  </si>
  <si>
    <t>Coto Brus</t>
  </si>
  <si>
    <t>Desconocida</t>
  </si>
  <si>
    <t>Tilarán</t>
  </si>
  <si>
    <t>Pococí</t>
  </si>
  <si>
    <t>Esparza</t>
  </si>
  <si>
    <t>San Rafael</t>
  </si>
  <si>
    <t>Talamanca</t>
  </si>
  <si>
    <t>Upala</t>
  </si>
  <si>
    <t>Hojancha</t>
  </si>
  <si>
    <t>05 A 9</t>
  </si>
  <si>
    <t>Bagaces</t>
  </si>
  <si>
    <t>Santa Ana</t>
  </si>
  <si>
    <t>Curridabat</t>
  </si>
  <si>
    <t>Escazú</t>
  </si>
  <si>
    <t>Palmares</t>
  </si>
  <si>
    <t>Pasajero bus</t>
  </si>
  <si>
    <t>Poás</t>
  </si>
  <si>
    <t>Pérez Zeledón</t>
  </si>
  <si>
    <t>Aserrí</t>
  </si>
  <si>
    <t>Sarapiquí</t>
  </si>
  <si>
    <t>Vuelco</t>
  </si>
  <si>
    <t>Corredores</t>
  </si>
  <si>
    <t>La Cruz</t>
  </si>
  <si>
    <t>Montes de Oro</t>
  </si>
  <si>
    <t>Caída de algún ocupante</t>
  </si>
  <si>
    <t>Zarcero</t>
  </si>
  <si>
    <t>San Ramón</t>
  </si>
  <si>
    <t>70 A 74</t>
  </si>
  <si>
    <t>Oreamuno</t>
  </si>
  <si>
    <t>santa cruz</t>
  </si>
  <si>
    <t>Montes de Oca</t>
  </si>
  <si>
    <t>Dota</t>
  </si>
  <si>
    <t>limón</t>
  </si>
  <si>
    <t>Guatuso</t>
  </si>
  <si>
    <t>Siquirres</t>
  </si>
  <si>
    <t>Desconocido</t>
  </si>
  <si>
    <t>Río Cuarto</t>
  </si>
  <si>
    <t>Moravia</t>
  </si>
  <si>
    <t>Grecia</t>
  </si>
  <si>
    <t>pococí</t>
  </si>
  <si>
    <t>Sarchí</t>
  </si>
  <si>
    <t>Paraíso</t>
  </si>
  <si>
    <t>Tibás</t>
  </si>
  <si>
    <t>El Guarco</t>
  </si>
  <si>
    <t>Vázquez de Coronado</t>
  </si>
  <si>
    <t>alajuela</t>
  </si>
  <si>
    <t>Otros</t>
  </si>
  <si>
    <t>Colisión contra Semoviente</t>
  </si>
  <si>
    <t>ATropello a persona</t>
  </si>
  <si>
    <t>Cañas</t>
  </si>
  <si>
    <t>cantonal o desconocida</t>
  </si>
  <si>
    <t>Flores</t>
  </si>
  <si>
    <t>OSA</t>
  </si>
  <si>
    <t>Matina</t>
  </si>
  <si>
    <t>Pasajero bicicleta</t>
  </si>
  <si>
    <t>sarapiquí</t>
  </si>
  <si>
    <t>Belén</t>
  </si>
  <si>
    <t>Otro</t>
  </si>
  <si>
    <t>Turrialba</t>
  </si>
  <si>
    <t>Puriscal</t>
  </si>
  <si>
    <t>San Mateo</t>
  </si>
  <si>
    <t>Count of Tipo de accidente</t>
  </si>
  <si>
    <t>Count of Provincia</t>
  </si>
  <si>
    <t>Dia</t>
  </si>
  <si>
    <t>Canton</t>
  </si>
  <si>
    <t>Sabado</t>
  </si>
  <si>
    <t>Viernes</t>
  </si>
  <si>
    <t>Jueves</t>
  </si>
  <si>
    <t>Miercoles</t>
  </si>
  <si>
    <t>Martes</t>
  </si>
  <si>
    <t>Lunes</t>
  </si>
  <si>
    <t>Domingo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</si>
  <si>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</si>
  <si>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</si>
  <si>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</si>
  <si>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</si>
  <si>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</si>
  <si>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</si>
  <si>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</si>
  <si>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</si>
  <si>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</si>
  <si>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</si>
  <si>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</si>
  <si>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</si>
  <si>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Dias</t>
  </si>
  <si>
    <t>Meses</t>
  </si>
  <si>
    <t>Cantidad</t>
  </si>
  <si>
    <t>Columnas</t>
  </si>
  <si>
    <t xml:space="preserve"> Tipo de accidente</t>
  </si>
  <si>
    <t>Filtro</t>
  </si>
  <si>
    <t>Tipo de Accidente</t>
  </si>
  <si>
    <t>Peaton</t>
  </si>
  <si>
    <t>M.M.menores</t>
  </si>
  <si>
    <t>Muertes de Peatones por Hora</t>
  </si>
  <si>
    <t>Total general</t>
  </si>
  <si>
    <t>Etiquetas de fila</t>
  </si>
  <si>
    <t>Etiquetas de columna</t>
  </si>
  <si>
    <t>Suma de M.M.menores</t>
  </si>
  <si>
    <t>M.M.S-D</t>
  </si>
  <si>
    <t>Atropello a Persona</t>
  </si>
  <si>
    <t>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</si>
</sst>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b/>
      <sz val="18"/>
      <color rgb="FF000000"/>
      <name val="Liberation Serif"/>
      <family val="1"/>
    </font>
    <font>
      <b/>
      <sz val="14"/>
      <color theme="1"/>
      <name val="Liberation Serif"/>
      <family val="1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10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20" fillId="0" borderId="0" xfId="0" applyFon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[datos_cosevi.xlsm]Tablas Dinámicas!Provincias</c:name>
    <c:fmtId val="14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Dinámicas'!$C$9:$C$10</c:f>
              <c:strCache>
                <c:ptCount val="1"/>
                <c:pt idx="0">
                  <c:v>Puntarenas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Dinámicas'!$C$11:$C$20</c:f>
              <c:numCache>
                <c:formatCode>General</c:formatCode>
                <c:ptCount val="9"/>
                <c:pt idx="0">
                  <c:v>55</c:v>
                </c:pt>
                <c:pt idx="1">
                  <c:v>18</c:v>
                </c:pt>
                <c:pt idx="2">
                  <c:v>21</c:v>
                </c:pt>
                <c:pt idx="3">
                  <c:v>5</c:v>
                </c:pt>
                <c:pt idx="4">
                  <c:v>18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8-40C9-AA01-CB660A335659}"/>
            </c:ext>
          </c:extLst>
        </c:ser>
        <c:ser>
          <c:idx val="1"/>
          <c:order val="1"/>
          <c:tx>
            <c:strRef>
              <c:f>'Tablas Dinámicas'!$D$9:$D$10</c:f>
              <c:strCache>
                <c:ptCount val="1"/>
                <c:pt idx="0">
                  <c:v>Alajuela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Dinámicas'!$D$11:$D$20</c:f>
              <c:numCache>
                <c:formatCode>General</c:formatCode>
                <c:ptCount val="9"/>
                <c:pt idx="0">
                  <c:v>57</c:v>
                </c:pt>
                <c:pt idx="1">
                  <c:v>22</c:v>
                </c:pt>
                <c:pt idx="2">
                  <c:v>12</c:v>
                </c:pt>
                <c:pt idx="3">
                  <c:v>8</c:v>
                </c:pt>
                <c:pt idx="4">
                  <c:v>11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8-40C9-AA01-CB660A335659}"/>
            </c:ext>
          </c:extLst>
        </c:ser>
        <c:ser>
          <c:idx val="2"/>
          <c:order val="2"/>
          <c:tx>
            <c:strRef>
              <c:f>'Tablas Dinámicas'!$E$9:$E$10</c:f>
              <c:strCache>
                <c:ptCount val="1"/>
                <c:pt idx="0">
                  <c:v>San José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Dinámicas'!$E$11:$E$20</c:f>
              <c:numCache>
                <c:formatCode>General</c:formatCode>
                <c:ptCount val="9"/>
                <c:pt idx="0">
                  <c:v>34</c:v>
                </c:pt>
                <c:pt idx="1">
                  <c:v>12</c:v>
                </c:pt>
                <c:pt idx="2">
                  <c:v>17</c:v>
                </c:pt>
                <c:pt idx="3">
                  <c:v>8</c:v>
                </c:pt>
                <c:pt idx="4">
                  <c:v>5</c:v>
                </c:pt>
                <c:pt idx="5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F8-40C9-AA01-CB660A335659}"/>
            </c:ext>
          </c:extLst>
        </c:ser>
        <c:ser>
          <c:idx val="3"/>
          <c:order val="3"/>
          <c:tx>
            <c:strRef>
              <c:f>'Tablas Dinámicas'!$F$9:$F$10</c:f>
              <c:strCache>
                <c:ptCount val="1"/>
                <c:pt idx="0">
                  <c:v>Guanacaste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Dinámicas'!$F$11:$F$20</c:f>
              <c:numCache>
                <c:formatCode>General</c:formatCode>
                <c:ptCount val="9"/>
                <c:pt idx="0">
                  <c:v>32</c:v>
                </c:pt>
                <c:pt idx="1">
                  <c:v>9</c:v>
                </c:pt>
                <c:pt idx="2">
                  <c:v>8</c:v>
                </c:pt>
                <c:pt idx="3">
                  <c:v>2</c:v>
                </c:pt>
                <c:pt idx="4">
                  <c:v>6</c:v>
                </c:pt>
                <c:pt idx="5">
                  <c:v>7</c:v>
                </c:pt>
                <c:pt idx="6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F8-40C9-AA01-CB660A335659}"/>
            </c:ext>
          </c:extLst>
        </c:ser>
        <c:ser>
          <c:idx val="4"/>
          <c:order val="4"/>
          <c:tx>
            <c:strRef>
              <c:f>'Tablas Dinámicas'!$G$9:$G$10</c:f>
              <c:strCache>
                <c:ptCount val="1"/>
                <c:pt idx="0">
                  <c:v>Limón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Dinámicas'!$G$11:$G$20</c:f>
              <c:numCache>
                <c:formatCode>General</c:formatCode>
                <c:ptCount val="9"/>
                <c:pt idx="0">
                  <c:v>36</c:v>
                </c:pt>
                <c:pt idx="1">
                  <c:v>6</c:v>
                </c:pt>
                <c:pt idx="2">
                  <c:v>4</c:v>
                </c:pt>
                <c:pt idx="3">
                  <c:v>14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F8-40C9-AA01-CB660A335659}"/>
            </c:ext>
          </c:extLst>
        </c:ser>
        <c:ser>
          <c:idx val="5"/>
          <c:order val="5"/>
          <c:tx>
            <c:strRef>
              <c:f>'Tablas Dinámicas'!$H$9:$H$10</c:f>
              <c:strCache>
                <c:ptCount val="1"/>
                <c:pt idx="0">
                  <c:v>Heredia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Dinámicas'!$H$11:$H$20</c:f>
              <c:numCache>
                <c:formatCode>General</c:formatCode>
                <c:ptCount val="9"/>
                <c:pt idx="0">
                  <c:v>16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F8-40C9-AA01-CB660A335659}"/>
            </c:ext>
          </c:extLst>
        </c:ser>
        <c:ser>
          <c:idx val="6"/>
          <c:order val="6"/>
          <c:tx>
            <c:strRef>
              <c:f>'Tablas Dinámicas'!$I$9:$I$10</c:f>
              <c:strCache>
                <c:ptCount val="1"/>
                <c:pt idx="0">
                  <c:v>Cartago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Dinámicas'!$B$11:$B$20</c:f>
              <c:strCache>
                <c:ptCount val="9"/>
                <c:pt idx="0">
                  <c:v>Motociclista</c:v>
                </c:pt>
                <c:pt idx="1">
                  <c:v>Conductor</c:v>
                </c:pt>
                <c:pt idx="2">
                  <c:v>Peaton</c:v>
                </c:pt>
                <c:pt idx="3">
                  <c:v>Ciclista</c:v>
                </c:pt>
                <c:pt idx="4">
                  <c:v>Pasajero carro</c:v>
                </c:pt>
                <c:pt idx="5">
                  <c:v>Pasajero moto</c:v>
                </c:pt>
                <c:pt idx="6">
                  <c:v>Pasajero bus</c:v>
                </c:pt>
                <c:pt idx="7">
                  <c:v>Otro</c:v>
                </c:pt>
                <c:pt idx="8">
                  <c:v>Pasajero bicicleta</c:v>
                </c:pt>
              </c:strCache>
            </c:strRef>
          </c:cat>
          <c:val>
            <c:numRef>
              <c:f>'Tablas Dinámicas'!$I$11:$I$20</c:f>
              <c:numCache>
                <c:formatCode>General</c:formatCode>
                <c:ptCount val="9"/>
                <c:pt idx="0">
                  <c:v>11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F8-40C9-AA01-CB660A33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03561632"/>
        <c:axId val="603562712"/>
      </c:barChart>
      <c:catAx>
        <c:axId val="603561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03562712"/>
        <c:crosses val="autoZero"/>
        <c:auto val="1"/>
        <c:lblAlgn val="ctr"/>
        <c:lblOffset val="100"/>
        <c:noMultiLvlLbl val="0"/>
      </c:catAx>
      <c:valAx>
        <c:axId val="603562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035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[datos_cosevi.xlsm]Tablas Dinámicas!PivotTable8</c:name>
    <c:fmtId val="26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Dinámicas'!$M$22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Dinámicas'!$L$23:$L$39</c:f>
              <c:strCache>
                <c:ptCount val="16"/>
                <c:pt idx="0">
                  <c:v>25 A 29</c:v>
                </c:pt>
                <c:pt idx="1">
                  <c:v>20 A 24</c:v>
                </c:pt>
                <c:pt idx="2">
                  <c:v>30 A 34</c:v>
                </c:pt>
                <c:pt idx="3">
                  <c:v>35 A 39</c:v>
                </c:pt>
                <c:pt idx="4">
                  <c:v>40 A 44</c:v>
                </c:pt>
                <c:pt idx="5">
                  <c:v>45 A 49</c:v>
                </c:pt>
                <c:pt idx="6">
                  <c:v>Desconocida</c:v>
                </c:pt>
                <c:pt idx="7">
                  <c:v>15 A 19</c:v>
                </c:pt>
                <c:pt idx="8">
                  <c:v>60 A 64</c:v>
                </c:pt>
                <c:pt idx="9">
                  <c:v>55 A 59</c:v>
                </c:pt>
                <c:pt idx="10">
                  <c:v>50 A 54</c:v>
                </c:pt>
                <c:pt idx="11">
                  <c:v>65 A 69</c:v>
                </c:pt>
                <c:pt idx="12">
                  <c:v>75+</c:v>
                </c:pt>
                <c:pt idx="13">
                  <c:v>70 A 74</c:v>
                </c:pt>
                <c:pt idx="14">
                  <c:v>10 A 14</c:v>
                </c:pt>
                <c:pt idx="15">
                  <c:v>05 A 9</c:v>
                </c:pt>
              </c:strCache>
            </c:strRef>
          </c:cat>
          <c:val>
            <c:numRef>
              <c:f>'Tablas Dinámicas'!$M$23:$M$39</c:f>
              <c:numCache>
                <c:formatCode>General</c:formatCode>
                <c:ptCount val="16"/>
                <c:pt idx="0">
                  <c:v>87</c:v>
                </c:pt>
                <c:pt idx="1">
                  <c:v>71</c:v>
                </c:pt>
                <c:pt idx="2">
                  <c:v>61</c:v>
                </c:pt>
                <c:pt idx="3">
                  <c:v>44</c:v>
                </c:pt>
                <c:pt idx="4">
                  <c:v>44</c:v>
                </c:pt>
                <c:pt idx="5">
                  <c:v>37</c:v>
                </c:pt>
                <c:pt idx="6">
                  <c:v>35</c:v>
                </c:pt>
                <c:pt idx="7">
                  <c:v>30</c:v>
                </c:pt>
                <c:pt idx="8">
                  <c:v>24</c:v>
                </c:pt>
                <c:pt idx="9">
                  <c:v>19</c:v>
                </c:pt>
                <c:pt idx="10">
                  <c:v>15</c:v>
                </c:pt>
                <c:pt idx="11">
                  <c:v>14</c:v>
                </c:pt>
                <c:pt idx="12">
                  <c:v>12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8-430F-8370-3539A2BBF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61079160"/>
        <c:axId val="661080600"/>
      </c:barChart>
      <c:catAx>
        <c:axId val="66107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61080600"/>
        <c:crosses val="autoZero"/>
        <c:auto val="1"/>
        <c:lblAlgn val="ctr"/>
        <c:lblOffset val="100"/>
        <c:noMultiLvlLbl val="0"/>
      </c:catAx>
      <c:valAx>
        <c:axId val="661080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6107916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[datos_cosevi.xlsm]Tablas Dinámicas!PivotTable10</c:name>
    <c:fmtId val="3"/>
  </c:pivotSource>
  <c:chart>
    <c:autoTitleDeleted val="1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'Tablas Dinámicas'!$C$42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'Tablas Dinámicas'!$B$43:$B$55</c:f>
              <c:strCache>
                <c:ptCount val="12"/>
                <c:pt idx="0">
                  <c:v>Diciembre</c:v>
                </c:pt>
                <c:pt idx="1">
                  <c:v>Setiembre</c:v>
                </c:pt>
                <c:pt idx="2">
                  <c:v>Noviembre</c:v>
                </c:pt>
                <c:pt idx="3">
                  <c:v>Mayo</c:v>
                </c:pt>
                <c:pt idx="4">
                  <c:v>Octubre</c:v>
                </c:pt>
                <c:pt idx="5">
                  <c:v>Enero</c:v>
                </c:pt>
                <c:pt idx="6">
                  <c:v>Marzo</c:v>
                </c:pt>
                <c:pt idx="7">
                  <c:v>Abril</c:v>
                </c:pt>
                <c:pt idx="8">
                  <c:v>Febrero</c:v>
                </c:pt>
                <c:pt idx="9">
                  <c:v>Agosto</c:v>
                </c:pt>
                <c:pt idx="10">
                  <c:v>Julio</c:v>
                </c:pt>
                <c:pt idx="11">
                  <c:v>Junio</c:v>
                </c:pt>
              </c:strCache>
            </c:strRef>
          </c:cat>
          <c:val>
            <c:numRef>
              <c:f>'Tablas Dinámicas'!$C$43:$C$55</c:f>
              <c:numCache>
                <c:formatCode>General</c:formatCode>
                <c:ptCount val="12"/>
                <c:pt idx="0">
                  <c:v>65</c:v>
                </c:pt>
                <c:pt idx="1">
                  <c:v>55</c:v>
                </c:pt>
                <c:pt idx="2">
                  <c:v>46</c:v>
                </c:pt>
                <c:pt idx="3">
                  <c:v>43</c:v>
                </c:pt>
                <c:pt idx="4">
                  <c:v>41</c:v>
                </c:pt>
                <c:pt idx="5">
                  <c:v>41</c:v>
                </c:pt>
                <c:pt idx="6">
                  <c:v>39</c:v>
                </c:pt>
                <c:pt idx="7">
                  <c:v>39</c:v>
                </c:pt>
                <c:pt idx="8">
                  <c:v>37</c:v>
                </c:pt>
                <c:pt idx="9">
                  <c:v>34</c:v>
                </c:pt>
                <c:pt idx="10">
                  <c:v>33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B-4F5C-BEF8-A3C10FA5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862104"/>
        <c:axId val="528863184"/>
      </c:lineChart>
      <c:catAx>
        <c:axId val="5288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528863184"/>
        <c:crosses val="autoZero"/>
        <c:auto val="1"/>
        <c:lblAlgn val="ctr"/>
        <c:lblOffset val="100"/>
        <c:noMultiLvlLbl val="0"/>
      </c:catAx>
      <c:valAx>
        <c:axId val="528863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52886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[datos_cosevi.xlsm]Tablas Dinámicas!PivotTable11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'Tablas Dinámicas'!$F$42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4C4-4760-8BBD-93B5790591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4C4-4760-8BBD-93B5790591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4C4-4760-8BBD-93B5790591A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4C4-4760-8BBD-93B5790591A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4C4-4760-8BBD-93B5790591A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4C4-4760-8BBD-93B5790591A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4C4-4760-8BBD-93B5790591A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4C4-4760-8BBD-93B5790591A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4C4-4760-8BBD-93B5790591AF}"/>
              </c:ext>
            </c:extLst>
          </c:dPt>
          <c:cat>
            <c:strRef>
              <c:f>'Tablas Dinámicas'!$E$43:$E$52</c:f>
              <c:strCache>
                <c:ptCount val="9"/>
                <c:pt idx="0">
                  <c:v>Colisión entre vehículos</c:v>
                </c:pt>
                <c:pt idx="1">
                  <c:v>Salió de la vía</c:v>
                </c:pt>
                <c:pt idx="2">
                  <c:v>Atropello a persona</c:v>
                </c:pt>
                <c:pt idx="3">
                  <c:v>Colisión con bicicleta</c:v>
                </c:pt>
                <c:pt idx="4">
                  <c:v>Colisión con objeto fijo</c:v>
                </c:pt>
                <c:pt idx="5">
                  <c:v>Caída de algún ocupante</c:v>
                </c:pt>
                <c:pt idx="6">
                  <c:v>Vuelco</c:v>
                </c:pt>
                <c:pt idx="7">
                  <c:v>Colisión contra Semoviente</c:v>
                </c:pt>
                <c:pt idx="8">
                  <c:v>Otros</c:v>
                </c:pt>
              </c:strCache>
            </c:strRef>
          </c:cat>
          <c:val>
            <c:numRef>
              <c:f>'Tablas Dinámicas'!$F$43:$F$52</c:f>
              <c:numCache>
                <c:formatCode>General</c:formatCode>
                <c:ptCount val="9"/>
                <c:pt idx="0">
                  <c:v>224</c:v>
                </c:pt>
                <c:pt idx="1">
                  <c:v>95</c:v>
                </c:pt>
                <c:pt idx="2">
                  <c:v>80</c:v>
                </c:pt>
                <c:pt idx="3">
                  <c:v>38</c:v>
                </c:pt>
                <c:pt idx="4">
                  <c:v>38</c:v>
                </c:pt>
                <c:pt idx="5">
                  <c:v>16</c:v>
                </c:pt>
                <c:pt idx="6">
                  <c:v>10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3-4FDA-9630-F261CEDB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464820</xdr:colOff>
      <xdr:row>1</xdr:row>
      <xdr:rowOff>9525</xdr:rowOff>
    </xdr:from>
    <xdr:ext cx="5688865" cy="78111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C7B342F-969B-DE34-69E7-53282D203F2F}"/>
            </a:ext>
          </a:extLst>
        </xdr:cNvPr>
        <xdr:cNvSpPr txBox="1"/>
      </xdr:nvSpPr>
      <xdr:spPr>
        <a:xfrm>
          <a:off x="464820" y="190500"/>
          <a:ext cx="5688865" cy="7811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R" sz="440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Mortalidad</a:t>
          </a:r>
          <a:r>
            <a:rPr lang="es-CR" sz="4400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 Light" panose="020F0302020204030204" pitchFamily="34" charset="0"/>
              <a:cs typeface="Calibri Light" panose="020F0302020204030204" pitchFamily="34" charset="0"/>
            </a:rPr>
            <a:t> en Carretera</a:t>
          </a:r>
        </a:p>
      </xdr:txBody>
    </xdr:sp>
    <xdr:clientData/>
  </xdr:oneCellAnchor>
  <xdr:twoCellAnchor>
    <xdr:from>
      <xdr:col>0</xdr:col>
      <xdr:colOff>527685</xdr:colOff>
      <xdr:row>6</xdr:row>
      <xdr:rowOff>57150</xdr:rowOff>
    </xdr:from>
    <xdr:to>
      <xdr:col>6</xdr:col>
      <xdr:colOff>337185</xdr:colOff>
      <xdr:row>7</xdr:row>
      <xdr:rowOff>163830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923760B-145D-27B4-90AB-DEAFBDF928F0}"/>
            </a:ext>
          </a:extLst>
        </xdr:cNvPr>
        <xdr:cNvSpPr txBox="1"/>
      </xdr:nvSpPr>
      <xdr:spPr>
        <a:xfrm>
          <a:off x="527685" y="1143000"/>
          <a:ext cx="5200650" cy="28765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Cantidad de muertes por provincia</a:t>
          </a:r>
        </a:p>
      </xdr:txBody>
    </xdr:sp>
    <xdr:clientData/>
  </xdr:twoCellAnchor>
  <xdr:twoCellAnchor>
    <xdr:from>
      <xdr:col>0</xdr:col>
      <xdr:colOff>518160</xdr:colOff>
      <xdr:row>21</xdr:row>
      <xdr:rowOff>83820</xdr:rowOff>
    </xdr:from>
    <xdr:to>
      <xdr:col>6</xdr:col>
      <xdr:colOff>373380</xdr:colOff>
      <xdr:row>23</xdr:row>
      <xdr:rowOff>7620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6024A08-DE8C-4CA2-9690-E47C5E33BECC}"/>
            </a:ext>
          </a:extLst>
        </xdr:cNvPr>
        <xdr:cNvSpPr txBox="1"/>
      </xdr:nvSpPr>
      <xdr:spPr>
        <a:xfrm>
          <a:off x="518160" y="3924300"/>
          <a:ext cx="501396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Cantidad de muertes según sexo</a:t>
          </a:r>
        </a:p>
      </xdr:txBody>
    </xdr:sp>
    <xdr:clientData/>
  </xdr:twoCellAnchor>
  <xdr:twoCellAnchor>
    <xdr:from>
      <xdr:col>0</xdr:col>
      <xdr:colOff>483446</xdr:colOff>
      <xdr:row>28</xdr:row>
      <xdr:rowOff>130629</xdr:rowOff>
    </xdr:from>
    <xdr:to>
      <xdr:col>3</xdr:col>
      <xdr:colOff>87085</xdr:colOff>
      <xdr:row>30</xdr:row>
      <xdr:rowOff>52917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97B4821-6CD8-44A2-9570-E518CDF15608}"/>
            </a:ext>
          </a:extLst>
        </xdr:cNvPr>
        <xdr:cNvSpPr txBox="1"/>
      </xdr:nvSpPr>
      <xdr:spPr>
        <a:xfrm>
          <a:off x="483446" y="5312229"/>
          <a:ext cx="2782268" cy="29240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Cantidad de muertes</a:t>
          </a:r>
          <a:r>
            <a:rPr lang="es-C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según el día</a:t>
          </a:r>
        </a:p>
        <a:p>
          <a:pPr algn="l"/>
          <a:endParaRPr lang="es-C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283029</xdr:colOff>
      <xdr:row>6</xdr:row>
      <xdr:rowOff>31297</xdr:rowOff>
    </xdr:from>
    <xdr:to>
      <xdr:col>16</xdr:col>
      <xdr:colOff>598714</xdr:colOff>
      <xdr:row>7</xdr:row>
      <xdr:rowOff>142059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FF6CB22-1AC0-459F-8B77-8EA1D7CF97FC}"/>
            </a:ext>
          </a:extLst>
        </xdr:cNvPr>
        <xdr:cNvSpPr txBox="1"/>
      </xdr:nvSpPr>
      <xdr:spPr>
        <a:xfrm>
          <a:off x="9481458" y="1141640"/>
          <a:ext cx="5344885" cy="29581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Porcentaje</a:t>
          </a:r>
          <a:r>
            <a:rPr lang="es-C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muertes por provincia</a:t>
          </a:r>
          <a:endParaRPr lang="es-C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283029</xdr:colOff>
      <xdr:row>19</xdr:row>
      <xdr:rowOff>20411</xdr:rowOff>
    </xdr:from>
    <xdr:to>
      <xdr:col>13</xdr:col>
      <xdr:colOff>555172</xdr:colOff>
      <xdr:row>20</xdr:row>
      <xdr:rowOff>108857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6A36379-0DBB-44DE-B4DD-1AAC35F43372}"/>
            </a:ext>
          </a:extLst>
        </xdr:cNvPr>
        <xdr:cNvSpPr txBox="1"/>
      </xdr:nvSpPr>
      <xdr:spPr>
        <a:xfrm>
          <a:off x="9481458" y="3536497"/>
          <a:ext cx="3298371" cy="2735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Cantidad</a:t>
          </a:r>
          <a:r>
            <a:rPr lang="es-C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muertes según edad</a:t>
          </a:r>
          <a:endParaRPr lang="es-C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21773</xdr:colOff>
      <xdr:row>6</xdr:row>
      <xdr:rowOff>21771</xdr:rowOff>
    </xdr:from>
    <xdr:to>
      <xdr:col>25</xdr:col>
      <xdr:colOff>402772</xdr:colOff>
      <xdr:row>21</xdr:row>
      <xdr:rowOff>54428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DDBE127-45BD-49D5-5418-3FDE55DF1A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544285</xdr:colOff>
      <xdr:row>23</xdr:row>
      <xdr:rowOff>32658</xdr:rowOff>
    </xdr:from>
    <xdr:to>
      <xdr:col>26</xdr:col>
      <xdr:colOff>130629</xdr:colOff>
      <xdr:row>37</xdr:row>
      <xdr:rowOff>174171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CD73C00-B6B4-48F1-C4F5-E3E06EC3A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40</xdr:row>
      <xdr:rowOff>46568</xdr:rowOff>
    </xdr:from>
    <xdr:to>
      <xdr:col>26</xdr:col>
      <xdr:colOff>141514</xdr:colOff>
      <xdr:row>55</xdr:row>
      <xdr:rowOff>21771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E9DD833-1569-AC34-BCF5-9B85E04E8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881744</xdr:colOff>
      <xdr:row>40</xdr:row>
      <xdr:rowOff>87085</xdr:rowOff>
    </xdr:from>
    <xdr:to>
      <xdr:col>12</xdr:col>
      <xdr:colOff>1328057</xdr:colOff>
      <xdr:row>55</xdr:row>
      <xdr:rowOff>10885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2CB938C-7D9C-46D7-1CA1-24371BCF9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712045</xdr:colOff>
      <xdr:row>27</xdr:row>
      <xdr:rowOff>185056</xdr:rowOff>
    </xdr:from>
    <xdr:to>
      <xdr:col>9</xdr:col>
      <xdr:colOff>87086</xdr:colOff>
      <xdr:row>31</xdr:row>
      <xdr:rowOff>76200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949A1301-3469-40FF-A22D-AD00144C1552}"/>
            </a:ext>
          </a:extLst>
        </xdr:cNvPr>
        <xdr:cNvSpPr txBox="1"/>
      </xdr:nvSpPr>
      <xdr:spPr>
        <a:xfrm>
          <a:off x="6633874" y="5181599"/>
          <a:ext cx="2771383" cy="63137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C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Cantidad de muertes</a:t>
          </a:r>
          <a:endParaRPr lang="es-CR" sz="14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r>
            <a:rPr lang="es-C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menores de edad (Motos)(-19)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149133</xdr:colOff>
          <xdr:row>31</xdr:row>
          <xdr:rowOff>10886</xdr:rowOff>
        </xdr:from>
        <xdr:to>
          <xdr:col>5</xdr:col>
          <xdr:colOff>446314</xdr:colOff>
          <xdr:row>34</xdr:row>
          <xdr:rowOff>10885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800" b="1" i="0" u="none" strike="noStrike" baseline="0">
                  <a:solidFill>
                    <a:srgbClr val="000000"/>
                  </a:solidFill>
                  <a:latin typeface="Liberation Serif"/>
                  <a:ea typeface="Liberation Serif"/>
                  <a:cs typeface="Liberation Serif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36</xdr:row>
          <xdr:rowOff>7620</xdr:rowOff>
        </xdr:from>
        <xdr:to>
          <xdr:col>5</xdr:col>
          <xdr:colOff>281940</xdr:colOff>
          <xdr:row>38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Liberation Serif"/>
                  <a:ea typeface="Liberation Serif"/>
                  <a:cs typeface="Liberation Serif"/>
                </a:rPr>
                <a:t>Muertes x Hora (Motos)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31</xdr:row>
          <xdr:rowOff>22860</xdr:rowOff>
        </xdr:from>
        <xdr:to>
          <xdr:col>10</xdr:col>
          <xdr:colOff>182880</xdr:colOff>
          <xdr:row>36</xdr:row>
          <xdr:rowOff>45720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CSV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741.497738078702" createdVersion="8" refreshedVersion="8" minRefreshableVersion="3" recordCount="505" xr:uid="{D896D8D8-807D-48F1-B450-2AC1AC17A9FE}">
  <cacheSource type="worksheet">
    <worksheetSource name="API_Cosevi"/>
  </cacheSource>
  <cacheFields count="12">
    <cacheField name="Tipo de accidente" numFmtId="0">
      <sharedItems count="9">
        <s v="Colisión entre vehículos"/>
        <s v="Salió de la vía"/>
        <s v="Atropello a persona"/>
        <s v="Colisión con bicicleta"/>
        <s v="Colisión con objeto fijo"/>
        <s v="Vuelco"/>
        <s v="Caída de algún ocupante"/>
        <s v="Otros"/>
        <s v="Colisión contra Semoviente"/>
      </sharedItems>
    </cacheField>
    <cacheField name="Provincia" numFmtId="0">
      <sharedItems count="7">
        <s v="Guanacaste"/>
        <s v="Puntarenas"/>
        <s v="Alajuela"/>
        <s v="San José"/>
        <s v="Heredia"/>
        <s v="Cartago"/>
        <s v="Limón"/>
      </sharedItems>
    </cacheField>
    <cacheField name="Canton" numFmtId="0">
      <sharedItems/>
    </cacheField>
    <cacheField name="Ruta" numFmtId="0">
      <sharedItems containsMixedTypes="1" containsNumber="1" containsInteger="1" minValue="1" maxValue="933"/>
    </cacheField>
    <cacheField name="Rol persona" numFmtId="0">
      <sharedItems count="10">
        <s v="Motociclista"/>
        <s v="Pasajero carro"/>
        <s v="Conductor"/>
        <s v="Peaton"/>
        <s v="Ciclista"/>
        <s v="Pasajero moto"/>
        <s v="Pasajero bus"/>
        <s v="Pasajero bicicleta"/>
        <s v="Otro"/>
        <s v="Peatón" u="1"/>
      </sharedItems>
    </cacheField>
    <cacheField name="Sexo" numFmtId="0">
      <sharedItems count="3">
        <s v="Hombre"/>
        <s v="Mujer"/>
        <s v="Desconocido"/>
      </sharedItems>
    </cacheField>
    <cacheField name="Edad" numFmtId="0">
      <sharedItems containsMixedTypes="1" containsNumber="1" containsInteger="1" minValue="6" maxValue="85"/>
    </cacheField>
    <cacheField name="Dia" numFmtId="0">
      <sharedItems count="7">
        <s v="Lunes"/>
        <s v="Jueves"/>
        <s v="Sabado"/>
        <s v="Martes"/>
        <s v="Miercoles"/>
        <s v="Viernes"/>
        <s v="Domingo"/>
      </sharedItems>
    </cacheField>
    <cacheField name="Mes" numFmtId="0">
      <sharedItems count="12">
        <s v="Enero"/>
        <s v="Febrero"/>
        <s v="Marzo"/>
        <s v="Abril"/>
        <s v="Mayo"/>
        <s v="Junio"/>
        <s v="Julio"/>
        <s v="Agosto"/>
        <s v="Setiembre"/>
        <s v="Octubre"/>
        <s v="Noviembre"/>
        <s v="Diciembre"/>
      </sharedItems>
    </cacheField>
    <cacheField name="Edad quinquenal" numFmtId="0">
      <sharedItems count="16">
        <s v="25 A 29"/>
        <s v="20 A 24"/>
        <s v="45 A 49"/>
        <s v="30 A 34"/>
        <s v="65 A 69"/>
        <s v="40 A 44"/>
        <s v="15 A 19"/>
        <s v="35 A 39"/>
        <s v="55 A 59"/>
        <s v="75+"/>
        <s v="10 A 14"/>
        <s v="60 A 64"/>
        <s v="50 A 54"/>
        <s v="Desconocida"/>
        <s v="05 A 9"/>
        <s v="70 A 74"/>
      </sharedItems>
    </cacheField>
    <cacheField name="M.M.S-D" numFmtId="0">
      <sharedItems containsSemiMixedTypes="0" containsString="0" containsNumber="1" containsInteger="1" minValue="0" maxValue="1"/>
    </cacheField>
    <cacheField name="M.M.menore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5">
  <r>
    <x v="0"/>
    <x v="0"/>
    <s v="Santa Cruz"/>
    <n v="152"/>
    <x v="0"/>
    <x v="0"/>
    <n v="27"/>
    <x v="0"/>
    <x v="0"/>
    <x v="0"/>
    <n v="0"/>
    <n v="0"/>
  </r>
  <r>
    <x v="0"/>
    <x v="1"/>
    <s v="Parrita"/>
    <n v="34"/>
    <x v="1"/>
    <x v="0"/>
    <n v="23"/>
    <x v="0"/>
    <x v="0"/>
    <x v="1"/>
    <n v="0"/>
    <n v="0"/>
  </r>
  <r>
    <x v="0"/>
    <x v="1"/>
    <s v="Osa"/>
    <n v="2"/>
    <x v="1"/>
    <x v="0"/>
    <n v="48"/>
    <x v="1"/>
    <x v="0"/>
    <x v="2"/>
    <n v="0"/>
    <n v="0"/>
  </r>
  <r>
    <x v="0"/>
    <x v="1"/>
    <s v="Osa"/>
    <n v="2"/>
    <x v="1"/>
    <x v="0"/>
    <n v="46"/>
    <x v="1"/>
    <x v="0"/>
    <x v="2"/>
    <n v="0"/>
    <n v="0"/>
  </r>
  <r>
    <x v="0"/>
    <x v="0"/>
    <s v="Liberia"/>
    <n v="21"/>
    <x v="0"/>
    <x v="0"/>
    <n v="34"/>
    <x v="2"/>
    <x v="0"/>
    <x v="3"/>
    <n v="1"/>
    <n v="0"/>
  </r>
  <r>
    <x v="1"/>
    <x v="0"/>
    <s v="Nicoya"/>
    <s v="Cantonal o desconocida"/>
    <x v="2"/>
    <x v="0"/>
    <n v="26"/>
    <x v="2"/>
    <x v="0"/>
    <x v="0"/>
    <n v="0"/>
    <n v="0"/>
  </r>
  <r>
    <x v="0"/>
    <x v="0"/>
    <s v="Abangares"/>
    <n v="1"/>
    <x v="2"/>
    <x v="0"/>
    <n v="68"/>
    <x v="0"/>
    <x v="0"/>
    <x v="4"/>
    <n v="0"/>
    <n v="0"/>
  </r>
  <r>
    <x v="0"/>
    <x v="0"/>
    <s v="Abangares"/>
    <n v="1"/>
    <x v="1"/>
    <x v="0"/>
    <n v="40"/>
    <x v="0"/>
    <x v="0"/>
    <x v="5"/>
    <n v="0"/>
    <n v="0"/>
  </r>
  <r>
    <x v="1"/>
    <x v="2"/>
    <s v="Orotina"/>
    <s v="Cantonal o desconocida"/>
    <x v="0"/>
    <x v="0"/>
    <n v="19"/>
    <x v="3"/>
    <x v="0"/>
    <x v="6"/>
    <n v="0"/>
    <n v="1"/>
  </r>
  <r>
    <x v="0"/>
    <x v="0"/>
    <s v="Nicoya"/>
    <n v="21"/>
    <x v="0"/>
    <x v="0"/>
    <n v="38"/>
    <x v="3"/>
    <x v="0"/>
    <x v="7"/>
    <n v="0"/>
    <n v="0"/>
  </r>
  <r>
    <x v="2"/>
    <x v="3"/>
    <s v="San José"/>
    <s v="Cantonal o desconocida"/>
    <x v="3"/>
    <x v="1"/>
    <n v="57"/>
    <x v="1"/>
    <x v="0"/>
    <x v="8"/>
    <n v="0"/>
    <n v="0"/>
  </r>
  <r>
    <x v="0"/>
    <x v="1"/>
    <s v="Osa"/>
    <n v="2"/>
    <x v="2"/>
    <x v="0"/>
    <n v="38"/>
    <x v="1"/>
    <x v="0"/>
    <x v="7"/>
    <n v="0"/>
    <n v="0"/>
  </r>
  <r>
    <x v="1"/>
    <x v="2"/>
    <s v="Naranjo"/>
    <n v="141"/>
    <x v="2"/>
    <x v="0"/>
    <n v="38"/>
    <x v="2"/>
    <x v="0"/>
    <x v="7"/>
    <n v="0"/>
    <n v="0"/>
  </r>
  <r>
    <x v="3"/>
    <x v="0"/>
    <s v="Santa Cruz"/>
    <n v="21"/>
    <x v="4"/>
    <x v="0"/>
    <n v="56"/>
    <x v="3"/>
    <x v="0"/>
    <x v="8"/>
    <n v="0"/>
    <n v="0"/>
  </r>
  <r>
    <x v="0"/>
    <x v="3"/>
    <s v="San José"/>
    <n v="39"/>
    <x v="0"/>
    <x v="0"/>
    <n v="38"/>
    <x v="3"/>
    <x v="0"/>
    <x v="7"/>
    <n v="0"/>
    <n v="0"/>
  </r>
  <r>
    <x v="1"/>
    <x v="4"/>
    <s v="Heredia"/>
    <n v="1"/>
    <x v="0"/>
    <x v="0"/>
    <n v="22"/>
    <x v="4"/>
    <x v="0"/>
    <x v="1"/>
    <n v="0"/>
    <n v="0"/>
  </r>
  <r>
    <x v="0"/>
    <x v="1"/>
    <s v="Garabito"/>
    <n v="34"/>
    <x v="2"/>
    <x v="0"/>
    <n v="57"/>
    <x v="1"/>
    <x v="0"/>
    <x v="8"/>
    <n v="0"/>
    <n v="0"/>
  </r>
  <r>
    <x v="0"/>
    <x v="1"/>
    <s v="Garabito"/>
    <n v="34"/>
    <x v="1"/>
    <x v="1"/>
    <n v="76"/>
    <x v="1"/>
    <x v="0"/>
    <x v="9"/>
    <n v="0"/>
    <n v="0"/>
  </r>
  <r>
    <x v="0"/>
    <x v="1"/>
    <s v="Garabito"/>
    <n v="34"/>
    <x v="1"/>
    <x v="1"/>
    <n v="16"/>
    <x v="1"/>
    <x v="0"/>
    <x v="6"/>
    <n v="0"/>
    <n v="0"/>
  </r>
  <r>
    <x v="0"/>
    <x v="1"/>
    <s v="Garabito"/>
    <n v="34"/>
    <x v="1"/>
    <x v="1"/>
    <n v="11"/>
    <x v="1"/>
    <x v="0"/>
    <x v="10"/>
    <n v="0"/>
    <n v="0"/>
  </r>
  <r>
    <x v="0"/>
    <x v="3"/>
    <s v="Desamparados"/>
    <s v="Cantonal o desconocida"/>
    <x v="1"/>
    <x v="1"/>
    <n v="24"/>
    <x v="1"/>
    <x v="0"/>
    <x v="1"/>
    <n v="0"/>
    <n v="0"/>
  </r>
  <r>
    <x v="0"/>
    <x v="1"/>
    <s v="Parrita"/>
    <n v="34"/>
    <x v="0"/>
    <x v="0"/>
    <n v="32"/>
    <x v="5"/>
    <x v="0"/>
    <x v="3"/>
    <n v="0"/>
    <n v="0"/>
  </r>
  <r>
    <x v="0"/>
    <x v="1"/>
    <s v="Parrita"/>
    <n v="34"/>
    <x v="0"/>
    <x v="0"/>
    <n v="32"/>
    <x v="5"/>
    <x v="0"/>
    <x v="3"/>
    <n v="0"/>
    <n v="0"/>
  </r>
  <r>
    <x v="2"/>
    <x v="2"/>
    <s v="Alajuela"/>
    <n v="125"/>
    <x v="3"/>
    <x v="0"/>
    <n v="21"/>
    <x v="5"/>
    <x v="0"/>
    <x v="1"/>
    <n v="0"/>
    <n v="0"/>
  </r>
  <r>
    <x v="0"/>
    <x v="1"/>
    <s v="Buenos Aires"/>
    <n v="2"/>
    <x v="0"/>
    <x v="0"/>
    <n v="23"/>
    <x v="5"/>
    <x v="0"/>
    <x v="1"/>
    <n v="0"/>
    <n v="0"/>
  </r>
  <r>
    <x v="0"/>
    <x v="3"/>
    <s v="Desamparados"/>
    <s v="Cantonal o desconocida"/>
    <x v="0"/>
    <x v="0"/>
    <n v="29"/>
    <x v="2"/>
    <x v="0"/>
    <x v="0"/>
    <n v="1"/>
    <n v="0"/>
  </r>
  <r>
    <x v="4"/>
    <x v="1"/>
    <s v="Puntarenas"/>
    <s v="Cantonal o desconocida"/>
    <x v="2"/>
    <x v="0"/>
    <n v="45"/>
    <x v="6"/>
    <x v="0"/>
    <x v="2"/>
    <n v="0"/>
    <n v="0"/>
  </r>
  <r>
    <x v="0"/>
    <x v="2"/>
    <s v="Atenas"/>
    <n v="27"/>
    <x v="1"/>
    <x v="1"/>
    <n v="25"/>
    <x v="6"/>
    <x v="0"/>
    <x v="0"/>
    <n v="0"/>
    <n v="0"/>
  </r>
  <r>
    <x v="0"/>
    <x v="1"/>
    <s v="Puntarenas"/>
    <s v="Cantonal o desconocida"/>
    <x v="0"/>
    <x v="0"/>
    <n v="22"/>
    <x v="6"/>
    <x v="0"/>
    <x v="1"/>
    <n v="1"/>
    <n v="0"/>
  </r>
  <r>
    <x v="0"/>
    <x v="2"/>
    <s v="San Carlos"/>
    <n v="4"/>
    <x v="2"/>
    <x v="0"/>
    <n v="68"/>
    <x v="3"/>
    <x v="0"/>
    <x v="4"/>
    <n v="0"/>
    <n v="0"/>
  </r>
  <r>
    <x v="0"/>
    <x v="2"/>
    <s v="San Carlos"/>
    <n v="4"/>
    <x v="1"/>
    <x v="1"/>
    <n v="64"/>
    <x v="3"/>
    <x v="0"/>
    <x v="11"/>
    <n v="0"/>
    <n v="0"/>
  </r>
  <r>
    <x v="0"/>
    <x v="5"/>
    <s v="Jiménez"/>
    <s v="Cantonal o desconocida"/>
    <x v="0"/>
    <x v="0"/>
    <n v="28"/>
    <x v="4"/>
    <x v="0"/>
    <x v="0"/>
    <n v="0"/>
    <n v="0"/>
  </r>
  <r>
    <x v="2"/>
    <x v="0"/>
    <s v="Carrillo"/>
    <s v="Cantonal o desconocida"/>
    <x v="3"/>
    <x v="0"/>
    <n v="55"/>
    <x v="1"/>
    <x v="0"/>
    <x v="8"/>
    <n v="0"/>
    <n v="0"/>
  </r>
  <r>
    <x v="4"/>
    <x v="1"/>
    <s v="Puntarenas"/>
    <s v="Cantonal o desconocida"/>
    <x v="0"/>
    <x v="0"/>
    <n v="22"/>
    <x v="5"/>
    <x v="0"/>
    <x v="1"/>
    <n v="0"/>
    <n v="0"/>
  </r>
  <r>
    <x v="0"/>
    <x v="4"/>
    <s v="San Pablo"/>
    <n v="3"/>
    <x v="0"/>
    <x v="0"/>
    <n v="26"/>
    <x v="5"/>
    <x v="0"/>
    <x v="0"/>
    <n v="0"/>
    <n v="0"/>
  </r>
  <r>
    <x v="0"/>
    <x v="2"/>
    <s v="Orotina"/>
    <n v="27"/>
    <x v="0"/>
    <x v="0"/>
    <n v="22"/>
    <x v="5"/>
    <x v="0"/>
    <x v="1"/>
    <n v="0"/>
    <n v="0"/>
  </r>
  <r>
    <x v="0"/>
    <x v="1"/>
    <s v="Buenos Aires"/>
    <n v="237"/>
    <x v="0"/>
    <x v="0"/>
    <n v="45"/>
    <x v="2"/>
    <x v="0"/>
    <x v="2"/>
    <n v="1"/>
    <n v="0"/>
  </r>
  <r>
    <x v="2"/>
    <x v="2"/>
    <s v="Los Chiles"/>
    <n v="813"/>
    <x v="3"/>
    <x v="0"/>
    <n v="45"/>
    <x v="2"/>
    <x v="0"/>
    <x v="2"/>
    <n v="0"/>
    <n v="0"/>
  </r>
  <r>
    <x v="0"/>
    <x v="4"/>
    <s v="Heredia"/>
    <n v="3"/>
    <x v="2"/>
    <x v="0"/>
    <n v="29"/>
    <x v="6"/>
    <x v="0"/>
    <x v="0"/>
    <n v="0"/>
    <n v="0"/>
  </r>
  <r>
    <x v="0"/>
    <x v="4"/>
    <s v="Heredia"/>
    <n v="1"/>
    <x v="0"/>
    <x v="0"/>
    <n v="40"/>
    <x v="0"/>
    <x v="0"/>
    <x v="5"/>
    <n v="0"/>
    <n v="0"/>
  </r>
  <r>
    <x v="2"/>
    <x v="5"/>
    <s v="Cartago"/>
    <s v="Cantonal o desconocida"/>
    <x v="3"/>
    <x v="1"/>
    <n v="55"/>
    <x v="0"/>
    <x v="0"/>
    <x v="8"/>
    <n v="0"/>
    <n v="0"/>
  </r>
  <r>
    <x v="4"/>
    <x v="2"/>
    <s v="Alajuela"/>
    <s v="Cantonal o desconocida"/>
    <x v="1"/>
    <x v="0"/>
    <n v="26"/>
    <x v="6"/>
    <x v="1"/>
    <x v="0"/>
    <n v="0"/>
    <n v="0"/>
  </r>
  <r>
    <x v="1"/>
    <x v="0"/>
    <s v="Nicoya"/>
    <n v="150"/>
    <x v="0"/>
    <x v="0"/>
    <n v="49"/>
    <x v="6"/>
    <x v="1"/>
    <x v="2"/>
    <n v="1"/>
    <n v="0"/>
  </r>
  <r>
    <x v="0"/>
    <x v="5"/>
    <s v="La Unión"/>
    <n v="2"/>
    <x v="0"/>
    <x v="0"/>
    <n v="29"/>
    <x v="0"/>
    <x v="1"/>
    <x v="0"/>
    <n v="0"/>
    <n v="0"/>
  </r>
  <r>
    <x v="2"/>
    <x v="3"/>
    <s v="Acosta"/>
    <s v="Cantonal o desconocida"/>
    <x v="3"/>
    <x v="0"/>
    <n v="53"/>
    <x v="0"/>
    <x v="1"/>
    <x v="12"/>
    <n v="0"/>
    <n v="0"/>
  </r>
  <r>
    <x v="0"/>
    <x v="1"/>
    <s v="Quepos"/>
    <n v="34"/>
    <x v="5"/>
    <x v="0"/>
    <n v="21"/>
    <x v="0"/>
    <x v="1"/>
    <x v="1"/>
    <n v="0"/>
    <n v="0"/>
  </r>
  <r>
    <x v="0"/>
    <x v="4"/>
    <s v="Heredia"/>
    <n v="3"/>
    <x v="0"/>
    <x v="0"/>
    <n v="21"/>
    <x v="1"/>
    <x v="1"/>
    <x v="1"/>
    <n v="0"/>
    <n v="0"/>
  </r>
  <r>
    <x v="4"/>
    <x v="0"/>
    <s v="Santa Cruz"/>
    <n v="21"/>
    <x v="2"/>
    <x v="0"/>
    <n v="21"/>
    <x v="2"/>
    <x v="1"/>
    <x v="1"/>
    <n v="0"/>
    <n v="0"/>
  </r>
  <r>
    <x v="0"/>
    <x v="0"/>
    <s v="Nicoya"/>
    <n v="21"/>
    <x v="0"/>
    <x v="0"/>
    <n v="38"/>
    <x v="2"/>
    <x v="1"/>
    <x v="7"/>
    <n v="1"/>
    <n v="0"/>
  </r>
  <r>
    <x v="1"/>
    <x v="0"/>
    <s v="Nandayure"/>
    <n v="21"/>
    <x v="0"/>
    <x v="0"/>
    <n v="27"/>
    <x v="6"/>
    <x v="1"/>
    <x v="0"/>
    <n v="1"/>
    <n v="0"/>
  </r>
  <r>
    <x v="3"/>
    <x v="3"/>
    <s v="San José"/>
    <s v="Cantonal o desconocida"/>
    <x v="4"/>
    <x v="1"/>
    <n v="32"/>
    <x v="1"/>
    <x v="1"/>
    <x v="3"/>
    <n v="0"/>
    <n v="0"/>
  </r>
  <r>
    <x v="1"/>
    <x v="1"/>
    <s v="Buenos Aires"/>
    <n v="237"/>
    <x v="2"/>
    <x v="0"/>
    <n v="39"/>
    <x v="5"/>
    <x v="1"/>
    <x v="7"/>
    <n v="0"/>
    <n v="0"/>
  </r>
  <r>
    <x v="0"/>
    <x v="3"/>
    <s v="San José"/>
    <s v="Cantonal o desconocida"/>
    <x v="0"/>
    <x v="0"/>
    <n v="28"/>
    <x v="5"/>
    <x v="1"/>
    <x v="0"/>
    <n v="0"/>
    <n v="0"/>
  </r>
  <r>
    <x v="2"/>
    <x v="2"/>
    <s v="San Carlos"/>
    <n v="738"/>
    <x v="3"/>
    <x v="0"/>
    <n v="27"/>
    <x v="2"/>
    <x v="1"/>
    <x v="0"/>
    <n v="0"/>
    <n v="0"/>
  </r>
  <r>
    <x v="0"/>
    <x v="6"/>
    <s v="Guácimo"/>
    <n v="248"/>
    <x v="0"/>
    <x v="0"/>
    <n v="31"/>
    <x v="2"/>
    <x v="1"/>
    <x v="3"/>
    <n v="1"/>
    <n v="0"/>
  </r>
  <r>
    <x v="3"/>
    <x v="2"/>
    <s v="Alajuela"/>
    <n v="3"/>
    <x v="4"/>
    <x v="0"/>
    <n v="48"/>
    <x v="2"/>
    <x v="1"/>
    <x v="2"/>
    <n v="0"/>
    <n v="0"/>
  </r>
  <r>
    <x v="0"/>
    <x v="0"/>
    <s v="Nicoya"/>
    <n v="906"/>
    <x v="0"/>
    <x v="0"/>
    <n v="33"/>
    <x v="6"/>
    <x v="1"/>
    <x v="3"/>
    <n v="1"/>
    <n v="0"/>
  </r>
  <r>
    <x v="3"/>
    <x v="1"/>
    <s v="Quepos"/>
    <n v="34"/>
    <x v="4"/>
    <x v="0"/>
    <n v="34"/>
    <x v="0"/>
    <x v="1"/>
    <x v="3"/>
    <n v="0"/>
    <n v="0"/>
  </r>
  <r>
    <x v="1"/>
    <x v="1"/>
    <s v="Golfito"/>
    <n v="245"/>
    <x v="0"/>
    <x v="0"/>
    <n v="33"/>
    <x v="3"/>
    <x v="1"/>
    <x v="3"/>
    <n v="0"/>
    <n v="0"/>
  </r>
  <r>
    <x v="2"/>
    <x v="1"/>
    <s v="Coto Brus"/>
    <s v="Cantonal o desconocida"/>
    <x v="3"/>
    <x v="1"/>
    <n v="46"/>
    <x v="3"/>
    <x v="1"/>
    <x v="2"/>
    <n v="0"/>
    <n v="0"/>
  </r>
  <r>
    <x v="2"/>
    <x v="2"/>
    <s v="Alajuela"/>
    <n v="1"/>
    <x v="3"/>
    <x v="0"/>
    <s v="Desconocida"/>
    <x v="4"/>
    <x v="1"/>
    <x v="13"/>
    <n v="0"/>
    <n v="0"/>
  </r>
  <r>
    <x v="0"/>
    <x v="0"/>
    <s v="Nicoya"/>
    <n v="160"/>
    <x v="5"/>
    <x v="1"/>
    <s v="Desconocida"/>
    <x v="5"/>
    <x v="1"/>
    <x v="13"/>
    <n v="0"/>
    <n v="0"/>
  </r>
  <r>
    <x v="0"/>
    <x v="0"/>
    <s v="Tilarán"/>
    <n v="142"/>
    <x v="0"/>
    <x v="0"/>
    <n v="27"/>
    <x v="2"/>
    <x v="1"/>
    <x v="0"/>
    <n v="1"/>
    <n v="0"/>
  </r>
  <r>
    <x v="0"/>
    <x v="0"/>
    <s v="Tilarán"/>
    <n v="142"/>
    <x v="0"/>
    <x v="0"/>
    <n v="19"/>
    <x v="2"/>
    <x v="1"/>
    <x v="6"/>
    <n v="1"/>
    <n v="1"/>
  </r>
  <r>
    <x v="0"/>
    <x v="6"/>
    <s v="Pococí"/>
    <s v="Cantonal o desconocida"/>
    <x v="0"/>
    <x v="0"/>
    <n v="26"/>
    <x v="5"/>
    <x v="1"/>
    <x v="0"/>
    <n v="0"/>
    <n v="0"/>
  </r>
  <r>
    <x v="0"/>
    <x v="1"/>
    <s v="Esparza"/>
    <n v="23"/>
    <x v="2"/>
    <x v="0"/>
    <n v="26"/>
    <x v="2"/>
    <x v="1"/>
    <x v="0"/>
    <n v="0"/>
    <n v="0"/>
  </r>
  <r>
    <x v="1"/>
    <x v="4"/>
    <s v="San Rafael"/>
    <s v="Cantonal o desconocida"/>
    <x v="0"/>
    <x v="0"/>
    <n v="27"/>
    <x v="2"/>
    <x v="1"/>
    <x v="0"/>
    <n v="1"/>
    <n v="0"/>
  </r>
  <r>
    <x v="2"/>
    <x v="2"/>
    <s v="San Carlos"/>
    <n v="142"/>
    <x v="0"/>
    <x v="0"/>
    <n v="18"/>
    <x v="2"/>
    <x v="1"/>
    <x v="6"/>
    <n v="1"/>
    <n v="1"/>
  </r>
  <r>
    <x v="0"/>
    <x v="0"/>
    <s v="Tilarán"/>
    <n v="142"/>
    <x v="0"/>
    <x v="0"/>
    <n v="27"/>
    <x v="2"/>
    <x v="1"/>
    <x v="0"/>
    <n v="1"/>
    <n v="0"/>
  </r>
  <r>
    <x v="0"/>
    <x v="0"/>
    <s v="Tilarán"/>
    <n v="142"/>
    <x v="0"/>
    <x v="0"/>
    <n v="19"/>
    <x v="2"/>
    <x v="1"/>
    <x v="6"/>
    <n v="1"/>
    <n v="1"/>
  </r>
  <r>
    <x v="0"/>
    <x v="6"/>
    <s v="Talamanca"/>
    <n v="36"/>
    <x v="0"/>
    <x v="0"/>
    <n v="63"/>
    <x v="6"/>
    <x v="1"/>
    <x v="11"/>
    <n v="1"/>
    <n v="0"/>
  </r>
  <r>
    <x v="0"/>
    <x v="2"/>
    <s v="Upala"/>
    <n v="4"/>
    <x v="0"/>
    <x v="0"/>
    <s v="Desconocida"/>
    <x v="6"/>
    <x v="1"/>
    <x v="13"/>
    <n v="1"/>
    <n v="0"/>
  </r>
  <r>
    <x v="0"/>
    <x v="1"/>
    <s v="Parrita"/>
    <n v="34"/>
    <x v="0"/>
    <x v="0"/>
    <n v="44"/>
    <x v="6"/>
    <x v="1"/>
    <x v="5"/>
    <n v="1"/>
    <n v="0"/>
  </r>
  <r>
    <x v="1"/>
    <x v="0"/>
    <s v="Hojancha"/>
    <n v="158"/>
    <x v="0"/>
    <x v="0"/>
    <n v="62"/>
    <x v="0"/>
    <x v="1"/>
    <x v="11"/>
    <n v="0"/>
    <n v="0"/>
  </r>
  <r>
    <x v="2"/>
    <x v="1"/>
    <s v="Buenos Aires"/>
    <s v="Cantonal o desconocida"/>
    <x v="3"/>
    <x v="0"/>
    <n v="68"/>
    <x v="0"/>
    <x v="1"/>
    <x v="4"/>
    <n v="0"/>
    <n v="0"/>
  </r>
  <r>
    <x v="1"/>
    <x v="2"/>
    <s v="Los Chiles"/>
    <n v="35"/>
    <x v="1"/>
    <x v="1"/>
    <n v="32"/>
    <x v="4"/>
    <x v="1"/>
    <x v="3"/>
    <n v="0"/>
    <n v="0"/>
  </r>
  <r>
    <x v="1"/>
    <x v="2"/>
    <s v="Los Chiles"/>
    <n v="35"/>
    <x v="1"/>
    <x v="1"/>
    <n v="6"/>
    <x v="4"/>
    <x v="1"/>
    <x v="14"/>
    <n v="0"/>
    <n v="0"/>
  </r>
  <r>
    <x v="2"/>
    <x v="1"/>
    <s v="Osa"/>
    <n v="34"/>
    <x v="3"/>
    <x v="0"/>
    <n v="41"/>
    <x v="1"/>
    <x v="1"/>
    <x v="5"/>
    <n v="0"/>
    <n v="0"/>
  </r>
  <r>
    <x v="1"/>
    <x v="0"/>
    <s v="Bagaces"/>
    <s v="Cantonal o desconocida"/>
    <x v="2"/>
    <x v="0"/>
    <n v="57"/>
    <x v="1"/>
    <x v="2"/>
    <x v="8"/>
    <n v="0"/>
    <n v="0"/>
  </r>
  <r>
    <x v="1"/>
    <x v="3"/>
    <s v="Santa Ana"/>
    <n v="147"/>
    <x v="0"/>
    <x v="0"/>
    <n v="44"/>
    <x v="5"/>
    <x v="2"/>
    <x v="5"/>
    <n v="0"/>
    <n v="0"/>
  </r>
  <r>
    <x v="4"/>
    <x v="6"/>
    <s v="Pococí"/>
    <n v="32"/>
    <x v="0"/>
    <x v="0"/>
    <n v="40"/>
    <x v="2"/>
    <x v="2"/>
    <x v="5"/>
    <n v="1"/>
    <n v="0"/>
  </r>
  <r>
    <x v="0"/>
    <x v="1"/>
    <s v="Puntarenas"/>
    <n v="132"/>
    <x v="0"/>
    <x v="0"/>
    <n v="45"/>
    <x v="2"/>
    <x v="2"/>
    <x v="2"/>
    <n v="1"/>
    <n v="0"/>
  </r>
  <r>
    <x v="0"/>
    <x v="0"/>
    <s v="Nicoya"/>
    <n v="150"/>
    <x v="0"/>
    <x v="0"/>
    <n v="43"/>
    <x v="6"/>
    <x v="2"/>
    <x v="5"/>
    <n v="1"/>
    <n v="0"/>
  </r>
  <r>
    <x v="1"/>
    <x v="1"/>
    <s v="Golfito"/>
    <n v="245"/>
    <x v="0"/>
    <x v="0"/>
    <n v="49"/>
    <x v="6"/>
    <x v="2"/>
    <x v="2"/>
    <n v="1"/>
    <n v="0"/>
  </r>
  <r>
    <x v="2"/>
    <x v="1"/>
    <s v="Garabito"/>
    <n v="34"/>
    <x v="5"/>
    <x v="1"/>
    <n v="43"/>
    <x v="5"/>
    <x v="2"/>
    <x v="5"/>
    <n v="0"/>
    <n v="0"/>
  </r>
  <r>
    <x v="2"/>
    <x v="3"/>
    <s v="Curridabat"/>
    <n v="215"/>
    <x v="3"/>
    <x v="1"/>
    <s v="Desconocida"/>
    <x v="5"/>
    <x v="2"/>
    <x v="13"/>
    <n v="0"/>
    <n v="0"/>
  </r>
  <r>
    <x v="4"/>
    <x v="3"/>
    <s v="Escazú"/>
    <s v="Cantonal o desconocida"/>
    <x v="0"/>
    <x v="0"/>
    <n v="24"/>
    <x v="2"/>
    <x v="2"/>
    <x v="1"/>
    <n v="1"/>
    <n v="0"/>
  </r>
  <r>
    <x v="1"/>
    <x v="1"/>
    <s v="Puntarenas"/>
    <n v="160"/>
    <x v="0"/>
    <x v="0"/>
    <n v="31"/>
    <x v="6"/>
    <x v="2"/>
    <x v="3"/>
    <n v="1"/>
    <n v="0"/>
  </r>
  <r>
    <x v="4"/>
    <x v="2"/>
    <s v="Palmares"/>
    <s v="Cantonal o desconocida"/>
    <x v="0"/>
    <x v="0"/>
    <n v="31"/>
    <x v="3"/>
    <x v="2"/>
    <x v="3"/>
    <n v="0"/>
    <n v="0"/>
  </r>
  <r>
    <x v="0"/>
    <x v="0"/>
    <s v="Carrillo"/>
    <n v="155"/>
    <x v="1"/>
    <x v="0"/>
    <n v="44"/>
    <x v="1"/>
    <x v="2"/>
    <x v="5"/>
    <n v="0"/>
    <n v="0"/>
  </r>
  <r>
    <x v="2"/>
    <x v="6"/>
    <s v="Pococí"/>
    <n v="32"/>
    <x v="3"/>
    <x v="0"/>
    <n v="36"/>
    <x v="5"/>
    <x v="2"/>
    <x v="7"/>
    <n v="0"/>
    <n v="0"/>
  </r>
  <r>
    <x v="1"/>
    <x v="1"/>
    <s v="Coto Brus"/>
    <s v="Cantonal o desconocida"/>
    <x v="0"/>
    <x v="0"/>
    <n v="63"/>
    <x v="5"/>
    <x v="2"/>
    <x v="11"/>
    <n v="0"/>
    <n v="0"/>
  </r>
  <r>
    <x v="0"/>
    <x v="0"/>
    <s v="Carrillo"/>
    <n v="21"/>
    <x v="0"/>
    <x v="0"/>
    <n v="46"/>
    <x v="5"/>
    <x v="2"/>
    <x v="2"/>
    <n v="0"/>
    <n v="0"/>
  </r>
  <r>
    <x v="1"/>
    <x v="3"/>
    <s v="Santa Ana"/>
    <n v="27"/>
    <x v="2"/>
    <x v="0"/>
    <n v="26"/>
    <x v="2"/>
    <x v="2"/>
    <x v="0"/>
    <n v="0"/>
    <n v="0"/>
  </r>
  <r>
    <x v="4"/>
    <x v="3"/>
    <s v="Santa Ana"/>
    <n v="121"/>
    <x v="0"/>
    <x v="0"/>
    <n v="24"/>
    <x v="2"/>
    <x v="2"/>
    <x v="1"/>
    <n v="1"/>
    <n v="0"/>
  </r>
  <r>
    <x v="0"/>
    <x v="4"/>
    <s v="Heredia"/>
    <s v="Cantonal o desconocida"/>
    <x v="6"/>
    <x v="1"/>
    <n v="31"/>
    <x v="2"/>
    <x v="2"/>
    <x v="3"/>
    <n v="0"/>
    <n v="0"/>
  </r>
  <r>
    <x v="4"/>
    <x v="2"/>
    <s v="Poás"/>
    <s v="Cantonal o desconocida"/>
    <x v="0"/>
    <x v="0"/>
    <n v="24"/>
    <x v="2"/>
    <x v="2"/>
    <x v="1"/>
    <n v="1"/>
    <n v="0"/>
  </r>
  <r>
    <x v="4"/>
    <x v="2"/>
    <s v="Poás"/>
    <s v="Cantonal o desconocida"/>
    <x v="5"/>
    <x v="0"/>
    <n v="21"/>
    <x v="2"/>
    <x v="2"/>
    <x v="1"/>
    <n v="0"/>
    <n v="0"/>
  </r>
  <r>
    <x v="1"/>
    <x v="3"/>
    <s v="Pérez Zeledón"/>
    <n v="2"/>
    <x v="0"/>
    <x v="0"/>
    <n v="40"/>
    <x v="2"/>
    <x v="2"/>
    <x v="5"/>
    <n v="1"/>
    <n v="0"/>
  </r>
  <r>
    <x v="0"/>
    <x v="1"/>
    <s v="Osa"/>
    <n v="34"/>
    <x v="0"/>
    <x v="0"/>
    <n v="32"/>
    <x v="6"/>
    <x v="2"/>
    <x v="3"/>
    <n v="1"/>
    <n v="0"/>
  </r>
  <r>
    <x v="2"/>
    <x v="3"/>
    <s v="Aserrí"/>
    <n v="209"/>
    <x v="3"/>
    <x v="0"/>
    <n v="42"/>
    <x v="3"/>
    <x v="2"/>
    <x v="5"/>
    <n v="0"/>
    <n v="0"/>
  </r>
  <r>
    <x v="0"/>
    <x v="1"/>
    <s v="Golfito"/>
    <n v="14"/>
    <x v="0"/>
    <x v="0"/>
    <n v="36"/>
    <x v="3"/>
    <x v="2"/>
    <x v="7"/>
    <n v="0"/>
    <n v="0"/>
  </r>
  <r>
    <x v="2"/>
    <x v="3"/>
    <s v="San José"/>
    <s v="Cantonal o desconocida"/>
    <x v="3"/>
    <x v="0"/>
    <n v="21"/>
    <x v="4"/>
    <x v="2"/>
    <x v="1"/>
    <n v="0"/>
    <n v="0"/>
  </r>
  <r>
    <x v="3"/>
    <x v="4"/>
    <s v="Sarapiquí"/>
    <s v="Cantonal o desconocida"/>
    <x v="4"/>
    <x v="0"/>
    <n v="29"/>
    <x v="2"/>
    <x v="2"/>
    <x v="0"/>
    <n v="0"/>
    <n v="0"/>
  </r>
  <r>
    <x v="1"/>
    <x v="0"/>
    <s v="Nicoya"/>
    <n v="150"/>
    <x v="2"/>
    <x v="0"/>
    <n v="24"/>
    <x v="5"/>
    <x v="2"/>
    <x v="1"/>
    <n v="0"/>
    <n v="0"/>
  </r>
  <r>
    <x v="3"/>
    <x v="4"/>
    <s v="Sarapiquí"/>
    <n v="4"/>
    <x v="4"/>
    <x v="0"/>
    <n v="30"/>
    <x v="5"/>
    <x v="2"/>
    <x v="3"/>
    <n v="0"/>
    <n v="0"/>
  </r>
  <r>
    <x v="4"/>
    <x v="6"/>
    <s v="Pococí"/>
    <n v="32"/>
    <x v="2"/>
    <x v="0"/>
    <n v="46"/>
    <x v="2"/>
    <x v="2"/>
    <x v="2"/>
    <n v="0"/>
    <n v="0"/>
  </r>
  <r>
    <x v="1"/>
    <x v="3"/>
    <s v="Pérez Zeledón"/>
    <n v="2"/>
    <x v="2"/>
    <x v="0"/>
    <n v="78"/>
    <x v="6"/>
    <x v="2"/>
    <x v="9"/>
    <n v="0"/>
    <n v="0"/>
  </r>
  <r>
    <x v="5"/>
    <x v="2"/>
    <s v="San Carlos"/>
    <s v="Cantonal o desconocida"/>
    <x v="2"/>
    <x v="0"/>
    <n v="28"/>
    <x v="0"/>
    <x v="2"/>
    <x v="0"/>
    <n v="0"/>
    <n v="0"/>
  </r>
  <r>
    <x v="3"/>
    <x v="3"/>
    <s v="San José"/>
    <s v="Cantonal o desconocida"/>
    <x v="4"/>
    <x v="0"/>
    <n v="27"/>
    <x v="4"/>
    <x v="2"/>
    <x v="0"/>
    <n v="0"/>
    <n v="0"/>
  </r>
  <r>
    <x v="0"/>
    <x v="1"/>
    <s v="Corredores"/>
    <n v="2"/>
    <x v="0"/>
    <x v="1"/>
    <n v="32"/>
    <x v="5"/>
    <x v="2"/>
    <x v="3"/>
    <n v="0"/>
    <n v="0"/>
  </r>
  <r>
    <x v="0"/>
    <x v="1"/>
    <s v="Corredores"/>
    <n v="2"/>
    <x v="5"/>
    <x v="0"/>
    <n v="26"/>
    <x v="5"/>
    <x v="2"/>
    <x v="0"/>
    <n v="0"/>
    <n v="0"/>
  </r>
  <r>
    <x v="1"/>
    <x v="0"/>
    <s v="La Cruz"/>
    <n v="1"/>
    <x v="1"/>
    <x v="0"/>
    <n v="34"/>
    <x v="5"/>
    <x v="2"/>
    <x v="3"/>
    <n v="0"/>
    <n v="0"/>
  </r>
  <r>
    <x v="0"/>
    <x v="1"/>
    <s v="Montes de Oro"/>
    <n v="1"/>
    <x v="1"/>
    <x v="0"/>
    <n v="40"/>
    <x v="2"/>
    <x v="2"/>
    <x v="5"/>
    <n v="0"/>
    <n v="0"/>
  </r>
  <r>
    <x v="6"/>
    <x v="4"/>
    <s v="Sarapiquí"/>
    <n v="4"/>
    <x v="0"/>
    <x v="0"/>
    <n v="39"/>
    <x v="2"/>
    <x v="2"/>
    <x v="7"/>
    <n v="1"/>
    <n v="0"/>
  </r>
  <r>
    <x v="5"/>
    <x v="0"/>
    <s v="Nandayure"/>
    <n v="21"/>
    <x v="2"/>
    <x v="1"/>
    <n v="24"/>
    <x v="2"/>
    <x v="2"/>
    <x v="1"/>
    <n v="0"/>
    <n v="0"/>
  </r>
  <r>
    <x v="0"/>
    <x v="2"/>
    <s v="Zarcero"/>
    <n v="141"/>
    <x v="0"/>
    <x v="0"/>
    <n v="32"/>
    <x v="6"/>
    <x v="2"/>
    <x v="3"/>
    <n v="1"/>
    <n v="0"/>
  </r>
  <r>
    <x v="5"/>
    <x v="3"/>
    <s v="Pérez Zeledón"/>
    <s v="Cantonal o desconocida"/>
    <x v="2"/>
    <x v="0"/>
    <n v="48"/>
    <x v="4"/>
    <x v="3"/>
    <x v="2"/>
    <n v="0"/>
    <n v="0"/>
  </r>
  <r>
    <x v="2"/>
    <x v="6"/>
    <s v="Pococí"/>
    <n v="247"/>
    <x v="3"/>
    <x v="0"/>
    <n v="43"/>
    <x v="1"/>
    <x v="3"/>
    <x v="5"/>
    <n v="0"/>
    <n v="0"/>
  </r>
  <r>
    <x v="5"/>
    <x v="2"/>
    <s v="San Ramón"/>
    <n v="702"/>
    <x v="1"/>
    <x v="0"/>
    <n v="73"/>
    <x v="5"/>
    <x v="3"/>
    <x v="15"/>
    <n v="0"/>
    <n v="0"/>
  </r>
  <r>
    <x v="0"/>
    <x v="6"/>
    <s v="Pococí"/>
    <n v="32"/>
    <x v="2"/>
    <x v="0"/>
    <n v="64"/>
    <x v="6"/>
    <x v="3"/>
    <x v="11"/>
    <n v="0"/>
    <n v="0"/>
  </r>
  <r>
    <x v="2"/>
    <x v="0"/>
    <s v="Nandayure"/>
    <s v="Cantonal o desconocida"/>
    <x v="3"/>
    <x v="1"/>
    <n v="81"/>
    <x v="6"/>
    <x v="3"/>
    <x v="9"/>
    <n v="0"/>
    <n v="0"/>
  </r>
  <r>
    <x v="3"/>
    <x v="5"/>
    <s v="Oreamuno"/>
    <n v="219"/>
    <x v="4"/>
    <x v="0"/>
    <n v="33"/>
    <x v="0"/>
    <x v="3"/>
    <x v="3"/>
    <n v="0"/>
    <n v="0"/>
  </r>
  <r>
    <x v="0"/>
    <x v="1"/>
    <s v="Corredores"/>
    <n v="2"/>
    <x v="1"/>
    <x v="1"/>
    <n v="53"/>
    <x v="3"/>
    <x v="3"/>
    <x v="12"/>
    <n v="0"/>
    <n v="0"/>
  </r>
  <r>
    <x v="1"/>
    <x v="2"/>
    <s v="Los Chiles"/>
    <n v="35"/>
    <x v="2"/>
    <x v="0"/>
    <n v="22"/>
    <x v="3"/>
    <x v="3"/>
    <x v="1"/>
    <n v="0"/>
    <n v="0"/>
  </r>
  <r>
    <x v="1"/>
    <x v="2"/>
    <s v="Los Chiles"/>
    <n v="35"/>
    <x v="1"/>
    <x v="0"/>
    <n v="20"/>
    <x v="3"/>
    <x v="3"/>
    <x v="1"/>
    <n v="0"/>
    <n v="0"/>
  </r>
  <r>
    <x v="0"/>
    <x v="2"/>
    <s v="San Ramón"/>
    <s v="Cantonal o desconocida"/>
    <x v="0"/>
    <x v="0"/>
    <s v="Desconocida"/>
    <x v="1"/>
    <x v="3"/>
    <x v="13"/>
    <n v="0"/>
    <n v="0"/>
  </r>
  <r>
    <x v="0"/>
    <x v="1"/>
    <s v="Quepos"/>
    <n v="34"/>
    <x v="0"/>
    <x v="0"/>
    <n v="21"/>
    <x v="5"/>
    <x v="3"/>
    <x v="1"/>
    <n v="0"/>
    <n v="0"/>
  </r>
  <r>
    <x v="0"/>
    <x v="6"/>
    <s v="Pococí"/>
    <n v="247"/>
    <x v="0"/>
    <x v="0"/>
    <n v="25"/>
    <x v="2"/>
    <x v="3"/>
    <x v="0"/>
    <n v="1"/>
    <n v="0"/>
  </r>
  <r>
    <x v="0"/>
    <x v="2"/>
    <s v="San Carlos"/>
    <n v="140"/>
    <x v="0"/>
    <x v="0"/>
    <n v="48"/>
    <x v="2"/>
    <x v="3"/>
    <x v="2"/>
    <n v="1"/>
    <n v="0"/>
  </r>
  <r>
    <x v="2"/>
    <x v="1"/>
    <s v="Puntarenas"/>
    <s v="Cantonal o desconocida"/>
    <x v="2"/>
    <x v="0"/>
    <n v="40"/>
    <x v="2"/>
    <x v="3"/>
    <x v="5"/>
    <n v="0"/>
    <n v="0"/>
  </r>
  <r>
    <x v="2"/>
    <x v="0"/>
    <s v="santa cruz"/>
    <n v="910"/>
    <x v="3"/>
    <x v="0"/>
    <n v="85"/>
    <x v="6"/>
    <x v="3"/>
    <x v="9"/>
    <n v="0"/>
    <n v="0"/>
  </r>
  <r>
    <x v="0"/>
    <x v="6"/>
    <s v="Limón"/>
    <n v="234"/>
    <x v="0"/>
    <x v="0"/>
    <n v="29"/>
    <x v="6"/>
    <x v="3"/>
    <x v="0"/>
    <n v="1"/>
    <n v="0"/>
  </r>
  <r>
    <x v="2"/>
    <x v="1"/>
    <s v="Parrita"/>
    <n v="34"/>
    <x v="3"/>
    <x v="0"/>
    <n v="60"/>
    <x v="6"/>
    <x v="3"/>
    <x v="11"/>
    <n v="0"/>
    <n v="0"/>
  </r>
  <r>
    <x v="2"/>
    <x v="1"/>
    <s v="Buenos Aires"/>
    <n v="2"/>
    <x v="3"/>
    <x v="0"/>
    <n v="48"/>
    <x v="0"/>
    <x v="3"/>
    <x v="2"/>
    <n v="0"/>
    <n v="0"/>
  </r>
  <r>
    <x v="4"/>
    <x v="3"/>
    <s v="Montes de Oca"/>
    <s v="Cantonal o desconocida"/>
    <x v="0"/>
    <x v="0"/>
    <n v="34"/>
    <x v="0"/>
    <x v="3"/>
    <x v="3"/>
    <n v="0"/>
    <n v="0"/>
  </r>
  <r>
    <x v="1"/>
    <x v="1"/>
    <s v="Garabito"/>
    <n v="34"/>
    <x v="2"/>
    <x v="0"/>
    <n v="57"/>
    <x v="3"/>
    <x v="3"/>
    <x v="8"/>
    <n v="0"/>
    <n v="0"/>
  </r>
  <r>
    <x v="3"/>
    <x v="6"/>
    <s v="Limón"/>
    <n v="234"/>
    <x v="4"/>
    <x v="0"/>
    <n v="55"/>
    <x v="3"/>
    <x v="3"/>
    <x v="8"/>
    <n v="0"/>
    <n v="0"/>
  </r>
  <r>
    <x v="0"/>
    <x v="3"/>
    <s v="Dota"/>
    <n v="2"/>
    <x v="0"/>
    <x v="0"/>
    <n v="18"/>
    <x v="3"/>
    <x v="3"/>
    <x v="6"/>
    <n v="0"/>
    <n v="1"/>
  </r>
  <r>
    <x v="0"/>
    <x v="6"/>
    <s v="limón"/>
    <n v="36"/>
    <x v="0"/>
    <x v="0"/>
    <n v="21"/>
    <x v="3"/>
    <x v="3"/>
    <x v="1"/>
    <n v="0"/>
    <n v="0"/>
  </r>
  <r>
    <x v="0"/>
    <x v="1"/>
    <s v="Osa"/>
    <n v="245"/>
    <x v="5"/>
    <x v="0"/>
    <n v="30"/>
    <x v="5"/>
    <x v="3"/>
    <x v="3"/>
    <n v="0"/>
    <n v="0"/>
  </r>
  <r>
    <x v="0"/>
    <x v="1"/>
    <s v="Quepos"/>
    <n v="34"/>
    <x v="0"/>
    <x v="0"/>
    <n v="21"/>
    <x v="5"/>
    <x v="3"/>
    <x v="1"/>
    <n v="0"/>
    <n v="0"/>
  </r>
  <r>
    <x v="2"/>
    <x v="2"/>
    <s v="Guatuso"/>
    <n v="4"/>
    <x v="3"/>
    <x v="0"/>
    <n v="37"/>
    <x v="5"/>
    <x v="3"/>
    <x v="7"/>
    <n v="0"/>
    <n v="0"/>
  </r>
  <r>
    <x v="1"/>
    <x v="1"/>
    <s v="Buenos Aires"/>
    <n v="2"/>
    <x v="5"/>
    <x v="0"/>
    <s v="Desconocida"/>
    <x v="6"/>
    <x v="3"/>
    <x v="13"/>
    <n v="0"/>
    <n v="0"/>
  </r>
  <r>
    <x v="1"/>
    <x v="6"/>
    <s v="Siquirres"/>
    <n v="415"/>
    <x v="0"/>
    <x v="0"/>
    <n v="48"/>
    <x v="6"/>
    <x v="3"/>
    <x v="2"/>
    <n v="1"/>
    <n v="0"/>
  </r>
  <r>
    <x v="0"/>
    <x v="5"/>
    <s v="Cartago"/>
    <n v="2"/>
    <x v="0"/>
    <x v="0"/>
    <n v="36"/>
    <x v="4"/>
    <x v="3"/>
    <x v="7"/>
    <n v="0"/>
    <n v="0"/>
  </r>
  <r>
    <x v="2"/>
    <x v="1"/>
    <s v="Garabito"/>
    <n v="34"/>
    <x v="3"/>
    <x v="0"/>
    <s v="Desconocida"/>
    <x v="4"/>
    <x v="3"/>
    <x v="13"/>
    <n v="0"/>
    <n v="0"/>
  </r>
  <r>
    <x v="0"/>
    <x v="1"/>
    <s v="Parrita"/>
    <n v="34"/>
    <x v="0"/>
    <x v="0"/>
    <n v="27"/>
    <x v="1"/>
    <x v="3"/>
    <x v="0"/>
    <n v="0"/>
    <n v="0"/>
  </r>
  <r>
    <x v="2"/>
    <x v="0"/>
    <s v="Carrillo"/>
    <n v="21"/>
    <x v="3"/>
    <x v="2"/>
    <n v="33"/>
    <x v="2"/>
    <x v="3"/>
    <x v="3"/>
    <n v="0"/>
    <n v="0"/>
  </r>
  <r>
    <x v="1"/>
    <x v="2"/>
    <s v="Zarcero"/>
    <n v="141"/>
    <x v="0"/>
    <x v="0"/>
    <n v="22"/>
    <x v="2"/>
    <x v="3"/>
    <x v="1"/>
    <n v="1"/>
    <n v="0"/>
  </r>
  <r>
    <x v="0"/>
    <x v="0"/>
    <s v="Bagaces"/>
    <n v="1"/>
    <x v="0"/>
    <x v="0"/>
    <n v="29"/>
    <x v="2"/>
    <x v="3"/>
    <x v="0"/>
    <n v="1"/>
    <n v="0"/>
  </r>
  <r>
    <x v="0"/>
    <x v="0"/>
    <s v="Carrillo"/>
    <n v="153"/>
    <x v="0"/>
    <x v="0"/>
    <n v="39"/>
    <x v="6"/>
    <x v="3"/>
    <x v="7"/>
    <n v="1"/>
    <n v="0"/>
  </r>
  <r>
    <x v="3"/>
    <x v="2"/>
    <s v="Alajuela"/>
    <n v="126"/>
    <x v="4"/>
    <x v="0"/>
    <n v="16"/>
    <x v="6"/>
    <x v="3"/>
    <x v="6"/>
    <n v="0"/>
    <n v="0"/>
  </r>
  <r>
    <x v="1"/>
    <x v="3"/>
    <s v="Aserrí"/>
    <n v="313"/>
    <x v="0"/>
    <x v="0"/>
    <n v="22"/>
    <x v="6"/>
    <x v="3"/>
    <x v="1"/>
    <n v="1"/>
    <n v="0"/>
  </r>
  <r>
    <x v="0"/>
    <x v="1"/>
    <s v="Puntarenas"/>
    <s v="Cantonal o desconocida"/>
    <x v="0"/>
    <x v="0"/>
    <s v="Desconocida"/>
    <x v="3"/>
    <x v="3"/>
    <x v="13"/>
    <n v="0"/>
    <n v="0"/>
  </r>
  <r>
    <x v="1"/>
    <x v="1"/>
    <s v="Buenos Aires"/>
    <s v="Cantonal o desconocida"/>
    <x v="0"/>
    <x v="0"/>
    <n v="25"/>
    <x v="3"/>
    <x v="3"/>
    <x v="0"/>
    <n v="0"/>
    <n v="0"/>
  </r>
  <r>
    <x v="0"/>
    <x v="2"/>
    <s v="Orotina"/>
    <n v="27"/>
    <x v="6"/>
    <x v="1"/>
    <n v="55"/>
    <x v="4"/>
    <x v="4"/>
    <x v="8"/>
    <n v="0"/>
    <n v="0"/>
  </r>
  <r>
    <x v="0"/>
    <x v="2"/>
    <s v="Los Chiles"/>
    <n v="35"/>
    <x v="0"/>
    <x v="0"/>
    <s v="Desconocida"/>
    <x v="4"/>
    <x v="4"/>
    <x v="13"/>
    <n v="0"/>
    <n v="0"/>
  </r>
  <r>
    <x v="2"/>
    <x v="1"/>
    <s v="Puntarenas"/>
    <n v="17"/>
    <x v="3"/>
    <x v="0"/>
    <n v="29"/>
    <x v="2"/>
    <x v="4"/>
    <x v="0"/>
    <n v="0"/>
    <n v="0"/>
  </r>
  <r>
    <x v="2"/>
    <x v="1"/>
    <s v="Puntarenas"/>
    <n v="17"/>
    <x v="3"/>
    <x v="0"/>
    <s v="Desconocida"/>
    <x v="2"/>
    <x v="4"/>
    <x v="13"/>
    <n v="0"/>
    <n v="0"/>
  </r>
  <r>
    <x v="1"/>
    <x v="6"/>
    <s v="Siquirres"/>
    <n v="32"/>
    <x v="0"/>
    <x v="0"/>
    <n v="60"/>
    <x v="2"/>
    <x v="4"/>
    <x v="11"/>
    <n v="1"/>
    <n v="0"/>
  </r>
  <r>
    <x v="0"/>
    <x v="3"/>
    <s v="San José"/>
    <s v="Cantonal o desconocida"/>
    <x v="0"/>
    <x v="0"/>
    <n v="36"/>
    <x v="2"/>
    <x v="4"/>
    <x v="7"/>
    <n v="1"/>
    <n v="0"/>
  </r>
  <r>
    <x v="0"/>
    <x v="2"/>
    <s v="Río Cuarto"/>
    <n v="744"/>
    <x v="0"/>
    <x v="0"/>
    <n v="36"/>
    <x v="6"/>
    <x v="4"/>
    <x v="7"/>
    <n v="1"/>
    <n v="0"/>
  </r>
  <r>
    <x v="1"/>
    <x v="3"/>
    <s v="San José"/>
    <n v="1"/>
    <x v="0"/>
    <x v="0"/>
    <n v="72"/>
    <x v="4"/>
    <x v="4"/>
    <x v="15"/>
    <n v="0"/>
    <n v="0"/>
  </r>
  <r>
    <x v="1"/>
    <x v="1"/>
    <s v="Osa"/>
    <n v="34"/>
    <x v="1"/>
    <x v="1"/>
    <n v="23"/>
    <x v="5"/>
    <x v="4"/>
    <x v="1"/>
    <n v="0"/>
    <n v="0"/>
  </r>
  <r>
    <x v="1"/>
    <x v="1"/>
    <s v="Puntarenas"/>
    <s v="Cantonal o desconocida"/>
    <x v="0"/>
    <x v="0"/>
    <n v="29"/>
    <x v="5"/>
    <x v="4"/>
    <x v="0"/>
    <n v="0"/>
    <n v="0"/>
  </r>
  <r>
    <x v="4"/>
    <x v="3"/>
    <s v="Moravia"/>
    <s v="Cantonal o desconocida"/>
    <x v="1"/>
    <x v="0"/>
    <s v="Desconocida"/>
    <x v="2"/>
    <x v="4"/>
    <x v="13"/>
    <n v="0"/>
    <n v="0"/>
  </r>
  <r>
    <x v="0"/>
    <x v="0"/>
    <s v="Liberia"/>
    <n v="21"/>
    <x v="0"/>
    <x v="2"/>
    <n v="27"/>
    <x v="2"/>
    <x v="4"/>
    <x v="0"/>
    <n v="1"/>
    <n v="0"/>
  </r>
  <r>
    <x v="0"/>
    <x v="1"/>
    <s v="Osa"/>
    <n v="34"/>
    <x v="0"/>
    <x v="0"/>
    <n v="27"/>
    <x v="2"/>
    <x v="4"/>
    <x v="0"/>
    <n v="1"/>
    <n v="0"/>
  </r>
  <r>
    <x v="1"/>
    <x v="6"/>
    <s v="Pococí"/>
    <n v="810"/>
    <x v="0"/>
    <x v="0"/>
    <n v="48"/>
    <x v="6"/>
    <x v="4"/>
    <x v="2"/>
    <n v="1"/>
    <n v="0"/>
  </r>
  <r>
    <x v="0"/>
    <x v="2"/>
    <s v="Grecia"/>
    <n v="107"/>
    <x v="2"/>
    <x v="0"/>
    <n v="22"/>
    <x v="6"/>
    <x v="4"/>
    <x v="1"/>
    <n v="0"/>
    <n v="0"/>
  </r>
  <r>
    <x v="0"/>
    <x v="6"/>
    <s v="Pococí"/>
    <n v="32"/>
    <x v="0"/>
    <x v="0"/>
    <n v="25"/>
    <x v="6"/>
    <x v="4"/>
    <x v="0"/>
    <n v="1"/>
    <n v="0"/>
  </r>
  <r>
    <x v="2"/>
    <x v="4"/>
    <s v="Heredia"/>
    <n v="1"/>
    <x v="3"/>
    <x v="0"/>
    <n v="38"/>
    <x v="6"/>
    <x v="4"/>
    <x v="7"/>
    <n v="0"/>
    <n v="0"/>
  </r>
  <r>
    <x v="0"/>
    <x v="1"/>
    <s v="Buenos Aires"/>
    <n v="2"/>
    <x v="0"/>
    <x v="0"/>
    <n v="17"/>
    <x v="6"/>
    <x v="4"/>
    <x v="6"/>
    <n v="1"/>
    <n v="1"/>
  </r>
  <r>
    <x v="1"/>
    <x v="0"/>
    <s v="Bagaces"/>
    <s v="Cantonal o desconocida"/>
    <x v="5"/>
    <x v="0"/>
    <n v="12"/>
    <x v="0"/>
    <x v="4"/>
    <x v="10"/>
    <n v="0"/>
    <n v="0"/>
  </r>
  <r>
    <x v="0"/>
    <x v="3"/>
    <s v="Moravia"/>
    <s v="Cantonal o desconocida"/>
    <x v="0"/>
    <x v="0"/>
    <n v="18"/>
    <x v="4"/>
    <x v="4"/>
    <x v="6"/>
    <n v="0"/>
    <n v="1"/>
  </r>
  <r>
    <x v="1"/>
    <x v="5"/>
    <s v="La Unión"/>
    <n v="2"/>
    <x v="0"/>
    <x v="0"/>
    <n v="56"/>
    <x v="4"/>
    <x v="4"/>
    <x v="8"/>
    <n v="0"/>
    <n v="0"/>
  </r>
  <r>
    <x v="1"/>
    <x v="1"/>
    <s v="Puntarenas"/>
    <n v="160"/>
    <x v="0"/>
    <x v="0"/>
    <n v="36"/>
    <x v="5"/>
    <x v="4"/>
    <x v="7"/>
    <n v="0"/>
    <n v="0"/>
  </r>
  <r>
    <x v="1"/>
    <x v="1"/>
    <s v="Osa"/>
    <n v="34"/>
    <x v="0"/>
    <x v="2"/>
    <n v="30"/>
    <x v="2"/>
    <x v="4"/>
    <x v="3"/>
    <n v="1"/>
    <n v="0"/>
  </r>
  <r>
    <x v="1"/>
    <x v="4"/>
    <s v="Heredia"/>
    <n v="1"/>
    <x v="5"/>
    <x v="1"/>
    <n v="30"/>
    <x v="2"/>
    <x v="4"/>
    <x v="3"/>
    <n v="0"/>
    <n v="0"/>
  </r>
  <r>
    <x v="0"/>
    <x v="6"/>
    <s v="pococí"/>
    <n v="32"/>
    <x v="2"/>
    <x v="0"/>
    <s v="Desconocida"/>
    <x v="2"/>
    <x v="4"/>
    <x v="13"/>
    <n v="0"/>
    <n v="0"/>
  </r>
  <r>
    <x v="0"/>
    <x v="6"/>
    <s v="Pococí"/>
    <n v="32"/>
    <x v="1"/>
    <x v="1"/>
    <s v="Desconocida"/>
    <x v="2"/>
    <x v="4"/>
    <x v="13"/>
    <n v="0"/>
    <n v="0"/>
  </r>
  <r>
    <x v="3"/>
    <x v="2"/>
    <s v="San Carlos"/>
    <s v="Cantonal o desconocida"/>
    <x v="4"/>
    <x v="0"/>
    <n v="61"/>
    <x v="2"/>
    <x v="4"/>
    <x v="11"/>
    <n v="0"/>
    <n v="0"/>
  </r>
  <r>
    <x v="0"/>
    <x v="0"/>
    <s v="Nicoya"/>
    <n v="150"/>
    <x v="0"/>
    <x v="0"/>
    <n v="24"/>
    <x v="6"/>
    <x v="4"/>
    <x v="1"/>
    <n v="1"/>
    <n v="0"/>
  </r>
  <r>
    <x v="0"/>
    <x v="2"/>
    <s v="Los Chiles"/>
    <n v="35"/>
    <x v="2"/>
    <x v="0"/>
    <n v="19"/>
    <x v="3"/>
    <x v="4"/>
    <x v="6"/>
    <n v="0"/>
    <n v="0"/>
  </r>
  <r>
    <x v="2"/>
    <x v="4"/>
    <s v="Sarapiquí"/>
    <n v="4"/>
    <x v="3"/>
    <x v="0"/>
    <n v="48"/>
    <x v="3"/>
    <x v="4"/>
    <x v="2"/>
    <n v="0"/>
    <n v="0"/>
  </r>
  <r>
    <x v="4"/>
    <x v="6"/>
    <s v="Siquirres"/>
    <n v="806"/>
    <x v="0"/>
    <x v="0"/>
    <n v="35"/>
    <x v="4"/>
    <x v="4"/>
    <x v="7"/>
    <n v="0"/>
    <n v="0"/>
  </r>
  <r>
    <x v="1"/>
    <x v="2"/>
    <s v="San Carlos"/>
    <n v="250"/>
    <x v="0"/>
    <x v="0"/>
    <n v="26"/>
    <x v="4"/>
    <x v="4"/>
    <x v="0"/>
    <n v="0"/>
    <n v="0"/>
  </r>
  <r>
    <x v="0"/>
    <x v="2"/>
    <s v="Alajuela"/>
    <n v="124"/>
    <x v="0"/>
    <x v="0"/>
    <n v="39"/>
    <x v="1"/>
    <x v="4"/>
    <x v="7"/>
    <n v="0"/>
    <n v="0"/>
  </r>
  <r>
    <x v="4"/>
    <x v="2"/>
    <s v="Alajuela"/>
    <s v="Cantonal o desconocida"/>
    <x v="0"/>
    <x v="0"/>
    <n v="28"/>
    <x v="1"/>
    <x v="4"/>
    <x v="0"/>
    <n v="0"/>
    <n v="0"/>
  </r>
  <r>
    <x v="0"/>
    <x v="0"/>
    <s v="Liberia"/>
    <s v="Cantonal o desconocida"/>
    <x v="0"/>
    <x v="0"/>
    <n v="38"/>
    <x v="5"/>
    <x v="4"/>
    <x v="7"/>
    <n v="0"/>
    <n v="0"/>
  </r>
  <r>
    <x v="0"/>
    <x v="4"/>
    <s v="Sarapiquí"/>
    <n v="4"/>
    <x v="0"/>
    <x v="0"/>
    <n v="54"/>
    <x v="2"/>
    <x v="4"/>
    <x v="12"/>
    <n v="1"/>
    <n v="0"/>
  </r>
  <r>
    <x v="0"/>
    <x v="2"/>
    <s v="Los Chiles"/>
    <n v="35"/>
    <x v="0"/>
    <x v="0"/>
    <s v="Desconocida"/>
    <x v="2"/>
    <x v="4"/>
    <x v="13"/>
    <n v="1"/>
    <n v="0"/>
  </r>
  <r>
    <x v="0"/>
    <x v="2"/>
    <s v="San Carlos"/>
    <n v="35"/>
    <x v="0"/>
    <x v="0"/>
    <n v="24"/>
    <x v="2"/>
    <x v="4"/>
    <x v="1"/>
    <n v="1"/>
    <n v="0"/>
  </r>
  <r>
    <x v="1"/>
    <x v="5"/>
    <s v="Oreamuno"/>
    <n v="219"/>
    <x v="0"/>
    <x v="0"/>
    <n v="24"/>
    <x v="6"/>
    <x v="4"/>
    <x v="1"/>
    <n v="1"/>
    <n v="0"/>
  </r>
  <r>
    <x v="2"/>
    <x v="3"/>
    <s v="San José"/>
    <n v="27"/>
    <x v="3"/>
    <x v="0"/>
    <n v="34"/>
    <x v="0"/>
    <x v="4"/>
    <x v="3"/>
    <n v="0"/>
    <n v="0"/>
  </r>
  <r>
    <x v="0"/>
    <x v="1"/>
    <s v="Corredores"/>
    <n v="608"/>
    <x v="0"/>
    <x v="0"/>
    <n v="31"/>
    <x v="1"/>
    <x v="4"/>
    <x v="3"/>
    <n v="0"/>
    <n v="0"/>
  </r>
  <r>
    <x v="0"/>
    <x v="6"/>
    <s v="Siquirres"/>
    <n v="32"/>
    <x v="2"/>
    <x v="0"/>
    <n v="22"/>
    <x v="5"/>
    <x v="4"/>
    <x v="1"/>
    <n v="0"/>
    <n v="0"/>
  </r>
  <r>
    <x v="0"/>
    <x v="1"/>
    <s v="Puntarenas"/>
    <n v="21"/>
    <x v="0"/>
    <x v="0"/>
    <n v="27"/>
    <x v="5"/>
    <x v="4"/>
    <x v="0"/>
    <n v="0"/>
    <n v="0"/>
  </r>
  <r>
    <x v="0"/>
    <x v="2"/>
    <s v="Los Chiles"/>
    <n v="35"/>
    <x v="0"/>
    <x v="0"/>
    <n v="29"/>
    <x v="2"/>
    <x v="5"/>
    <x v="0"/>
    <n v="1"/>
    <n v="0"/>
  </r>
  <r>
    <x v="3"/>
    <x v="3"/>
    <s v="Santa Ana"/>
    <s v="Cantonal o desconocida"/>
    <x v="4"/>
    <x v="0"/>
    <n v="29"/>
    <x v="6"/>
    <x v="5"/>
    <x v="0"/>
    <n v="0"/>
    <n v="0"/>
  </r>
  <r>
    <x v="0"/>
    <x v="6"/>
    <s v="Siquirres"/>
    <n v="32"/>
    <x v="1"/>
    <x v="1"/>
    <n v="15"/>
    <x v="6"/>
    <x v="5"/>
    <x v="6"/>
    <n v="0"/>
    <n v="0"/>
  </r>
  <r>
    <x v="1"/>
    <x v="3"/>
    <s v="San José"/>
    <n v="39"/>
    <x v="2"/>
    <x v="0"/>
    <n v="39"/>
    <x v="6"/>
    <x v="5"/>
    <x v="7"/>
    <n v="0"/>
    <n v="0"/>
  </r>
  <r>
    <x v="1"/>
    <x v="1"/>
    <s v="Osa"/>
    <s v="Cantonal o desconocida"/>
    <x v="0"/>
    <x v="0"/>
    <n v="29"/>
    <x v="0"/>
    <x v="5"/>
    <x v="0"/>
    <n v="0"/>
    <n v="0"/>
  </r>
  <r>
    <x v="2"/>
    <x v="2"/>
    <s v="San Carlos"/>
    <n v="250"/>
    <x v="3"/>
    <x v="2"/>
    <n v="26"/>
    <x v="0"/>
    <x v="5"/>
    <x v="0"/>
    <n v="0"/>
    <n v="0"/>
  </r>
  <r>
    <x v="3"/>
    <x v="1"/>
    <s v="Puntarenas"/>
    <n v="17"/>
    <x v="4"/>
    <x v="0"/>
    <n v="55"/>
    <x v="1"/>
    <x v="5"/>
    <x v="8"/>
    <n v="0"/>
    <n v="0"/>
  </r>
  <r>
    <x v="4"/>
    <x v="0"/>
    <s v="santa cruz"/>
    <s v="Cantonal o desconocida"/>
    <x v="1"/>
    <x v="0"/>
    <s v="Desconocida"/>
    <x v="2"/>
    <x v="5"/>
    <x v="13"/>
    <n v="0"/>
    <n v="0"/>
  </r>
  <r>
    <x v="0"/>
    <x v="6"/>
    <s v="Talamanca"/>
    <n v="36"/>
    <x v="0"/>
    <x v="0"/>
    <n v="33"/>
    <x v="2"/>
    <x v="5"/>
    <x v="3"/>
    <n v="1"/>
    <n v="0"/>
  </r>
  <r>
    <x v="1"/>
    <x v="2"/>
    <s v="Sarchí"/>
    <s v="Cantonal o desconocida"/>
    <x v="0"/>
    <x v="0"/>
    <n v="20"/>
    <x v="6"/>
    <x v="5"/>
    <x v="1"/>
    <n v="1"/>
    <n v="0"/>
  </r>
  <r>
    <x v="3"/>
    <x v="3"/>
    <s v="San José"/>
    <n v="39"/>
    <x v="4"/>
    <x v="0"/>
    <n v="53"/>
    <x v="6"/>
    <x v="5"/>
    <x v="12"/>
    <n v="0"/>
    <n v="0"/>
  </r>
  <r>
    <x v="1"/>
    <x v="1"/>
    <s v="Osa"/>
    <n v="2"/>
    <x v="1"/>
    <x v="1"/>
    <n v="38"/>
    <x v="6"/>
    <x v="5"/>
    <x v="7"/>
    <n v="0"/>
    <n v="0"/>
  </r>
  <r>
    <x v="1"/>
    <x v="5"/>
    <s v="Paraíso"/>
    <s v="Cantonal o desconocida"/>
    <x v="0"/>
    <x v="1"/>
    <n v="46"/>
    <x v="6"/>
    <x v="5"/>
    <x v="2"/>
    <n v="1"/>
    <n v="0"/>
  </r>
  <r>
    <x v="0"/>
    <x v="1"/>
    <s v="Corredores"/>
    <s v="Cantonal o desconocida"/>
    <x v="1"/>
    <x v="0"/>
    <n v="35"/>
    <x v="3"/>
    <x v="5"/>
    <x v="7"/>
    <n v="0"/>
    <n v="0"/>
  </r>
  <r>
    <x v="0"/>
    <x v="2"/>
    <s v="Upala"/>
    <n v="4"/>
    <x v="0"/>
    <x v="0"/>
    <n v="44"/>
    <x v="4"/>
    <x v="5"/>
    <x v="5"/>
    <n v="0"/>
    <n v="0"/>
  </r>
  <r>
    <x v="2"/>
    <x v="3"/>
    <s v="Tibás"/>
    <n v="39"/>
    <x v="3"/>
    <x v="0"/>
    <n v="23"/>
    <x v="4"/>
    <x v="5"/>
    <x v="1"/>
    <n v="0"/>
    <n v="0"/>
  </r>
  <r>
    <x v="0"/>
    <x v="2"/>
    <s v="San Carlos"/>
    <n v="142"/>
    <x v="0"/>
    <x v="0"/>
    <n v="27"/>
    <x v="5"/>
    <x v="5"/>
    <x v="0"/>
    <n v="0"/>
    <n v="0"/>
  </r>
  <r>
    <x v="0"/>
    <x v="5"/>
    <s v="Cartago"/>
    <n v="10"/>
    <x v="0"/>
    <x v="0"/>
    <n v="30"/>
    <x v="2"/>
    <x v="5"/>
    <x v="3"/>
    <n v="1"/>
    <n v="0"/>
  </r>
  <r>
    <x v="2"/>
    <x v="5"/>
    <s v="El Guarco"/>
    <s v="Cantonal o desconocida"/>
    <x v="3"/>
    <x v="1"/>
    <n v="81"/>
    <x v="2"/>
    <x v="5"/>
    <x v="9"/>
    <n v="0"/>
    <n v="0"/>
  </r>
  <r>
    <x v="0"/>
    <x v="0"/>
    <s v="santa cruz"/>
    <n v="933"/>
    <x v="0"/>
    <x v="0"/>
    <n v="26"/>
    <x v="2"/>
    <x v="5"/>
    <x v="0"/>
    <n v="1"/>
    <n v="0"/>
  </r>
  <r>
    <x v="0"/>
    <x v="2"/>
    <s v="San Carlos"/>
    <n v="250"/>
    <x v="0"/>
    <x v="1"/>
    <n v="17"/>
    <x v="2"/>
    <x v="5"/>
    <x v="6"/>
    <n v="1"/>
    <n v="1"/>
  </r>
  <r>
    <x v="0"/>
    <x v="3"/>
    <s v="Vázquez de Coronado"/>
    <n v="32"/>
    <x v="2"/>
    <x v="0"/>
    <n v="46"/>
    <x v="2"/>
    <x v="5"/>
    <x v="2"/>
    <n v="0"/>
    <n v="0"/>
  </r>
  <r>
    <x v="0"/>
    <x v="6"/>
    <s v="Guácimo"/>
    <s v="Cantonal o desconocida"/>
    <x v="0"/>
    <x v="0"/>
    <n v="44"/>
    <x v="2"/>
    <x v="5"/>
    <x v="5"/>
    <n v="1"/>
    <n v="0"/>
  </r>
  <r>
    <x v="3"/>
    <x v="6"/>
    <s v="Siquirres"/>
    <n v="806"/>
    <x v="4"/>
    <x v="0"/>
    <n v="62"/>
    <x v="6"/>
    <x v="5"/>
    <x v="11"/>
    <n v="0"/>
    <n v="0"/>
  </r>
  <r>
    <x v="0"/>
    <x v="1"/>
    <s v="Osa"/>
    <n v="34"/>
    <x v="2"/>
    <x v="0"/>
    <n v="30"/>
    <x v="3"/>
    <x v="5"/>
    <x v="3"/>
    <n v="0"/>
    <n v="0"/>
  </r>
  <r>
    <x v="2"/>
    <x v="5"/>
    <s v="La Unión"/>
    <n v="2"/>
    <x v="3"/>
    <x v="0"/>
    <n v="30"/>
    <x v="3"/>
    <x v="5"/>
    <x v="3"/>
    <n v="0"/>
    <n v="0"/>
  </r>
  <r>
    <x v="2"/>
    <x v="1"/>
    <s v="Puntarenas"/>
    <s v="Cantonal o desconocida"/>
    <x v="3"/>
    <x v="0"/>
    <s v="Desconocida"/>
    <x v="1"/>
    <x v="5"/>
    <x v="13"/>
    <n v="0"/>
    <n v="0"/>
  </r>
  <r>
    <x v="3"/>
    <x v="6"/>
    <s v="Talamanca"/>
    <n v="36"/>
    <x v="4"/>
    <x v="0"/>
    <s v="Desconocida"/>
    <x v="1"/>
    <x v="5"/>
    <x v="13"/>
    <n v="0"/>
    <n v="0"/>
  </r>
  <r>
    <x v="1"/>
    <x v="3"/>
    <s v="Pérez Zeledón"/>
    <n v="2"/>
    <x v="1"/>
    <x v="0"/>
    <n v="19"/>
    <x v="2"/>
    <x v="5"/>
    <x v="6"/>
    <n v="0"/>
    <n v="0"/>
  </r>
  <r>
    <x v="3"/>
    <x v="6"/>
    <s v="Siquirres"/>
    <n v="32"/>
    <x v="4"/>
    <x v="0"/>
    <n v="54"/>
    <x v="2"/>
    <x v="5"/>
    <x v="12"/>
    <n v="0"/>
    <n v="0"/>
  </r>
  <r>
    <x v="3"/>
    <x v="1"/>
    <s v="Quepos"/>
    <n v="34"/>
    <x v="4"/>
    <x v="0"/>
    <n v="67"/>
    <x v="2"/>
    <x v="5"/>
    <x v="4"/>
    <n v="0"/>
    <n v="0"/>
  </r>
  <r>
    <x v="2"/>
    <x v="3"/>
    <s v="San José"/>
    <s v="Cantonal o desconocida"/>
    <x v="3"/>
    <x v="0"/>
    <n v="29"/>
    <x v="6"/>
    <x v="5"/>
    <x v="0"/>
    <n v="0"/>
    <n v="0"/>
  </r>
  <r>
    <x v="3"/>
    <x v="2"/>
    <s v="Alajuela"/>
    <s v="Cantonal o desconocida"/>
    <x v="4"/>
    <x v="0"/>
    <n v="42"/>
    <x v="0"/>
    <x v="6"/>
    <x v="5"/>
    <n v="0"/>
    <n v="0"/>
  </r>
  <r>
    <x v="1"/>
    <x v="1"/>
    <s v="Coto Brus"/>
    <s v="Cantonal o desconocida"/>
    <x v="5"/>
    <x v="1"/>
    <n v="19"/>
    <x v="3"/>
    <x v="6"/>
    <x v="6"/>
    <n v="0"/>
    <n v="0"/>
  </r>
  <r>
    <x v="1"/>
    <x v="2"/>
    <s v="Alajuela"/>
    <s v="Cantonal o desconocida"/>
    <x v="0"/>
    <x v="0"/>
    <n v="24"/>
    <x v="3"/>
    <x v="6"/>
    <x v="1"/>
    <n v="0"/>
    <n v="0"/>
  </r>
  <r>
    <x v="0"/>
    <x v="2"/>
    <s v="San Ramón"/>
    <n v="1"/>
    <x v="2"/>
    <x v="0"/>
    <s v="Desconocida"/>
    <x v="1"/>
    <x v="6"/>
    <x v="13"/>
    <n v="0"/>
    <n v="0"/>
  </r>
  <r>
    <x v="0"/>
    <x v="3"/>
    <s v="Vázquez de Coronado"/>
    <n v="32"/>
    <x v="2"/>
    <x v="0"/>
    <n v="37"/>
    <x v="1"/>
    <x v="6"/>
    <x v="7"/>
    <n v="0"/>
    <n v="0"/>
  </r>
  <r>
    <x v="0"/>
    <x v="4"/>
    <s v="Sarapiquí"/>
    <s v="Cantonal o desconocida"/>
    <x v="0"/>
    <x v="1"/>
    <n v="26"/>
    <x v="5"/>
    <x v="6"/>
    <x v="0"/>
    <n v="0"/>
    <n v="0"/>
  </r>
  <r>
    <x v="0"/>
    <x v="1"/>
    <s v="Coto Brus"/>
    <s v="Cantonal o desconocida"/>
    <x v="0"/>
    <x v="0"/>
    <n v="28"/>
    <x v="2"/>
    <x v="6"/>
    <x v="0"/>
    <n v="1"/>
    <n v="0"/>
  </r>
  <r>
    <x v="2"/>
    <x v="3"/>
    <s v="San José"/>
    <s v="Cantonal o desconocida"/>
    <x v="3"/>
    <x v="2"/>
    <s v="Desconocida"/>
    <x v="3"/>
    <x v="6"/>
    <x v="13"/>
    <n v="0"/>
    <n v="0"/>
  </r>
  <r>
    <x v="0"/>
    <x v="0"/>
    <s v="Liberia"/>
    <n v="21"/>
    <x v="0"/>
    <x v="0"/>
    <n v="27"/>
    <x v="0"/>
    <x v="6"/>
    <x v="0"/>
    <n v="0"/>
    <n v="0"/>
  </r>
  <r>
    <x v="1"/>
    <x v="3"/>
    <s v="Escazú"/>
    <n v="105"/>
    <x v="0"/>
    <x v="0"/>
    <n v="26"/>
    <x v="3"/>
    <x v="6"/>
    <x v="0"/>
    <n v="0"/>
    <n v="0"/>
  </r>
  <r>
    <x v="1"/>
    <x v="0"/>
    <s v="Liberia"/>
    <n v="1"/>
    <x v="2"/>
    <x v="0"/>
    <n v="69"/>
    <x v="4"/>
    <x v="6"/>
    <x v="4"/>
    <n v="0"/>
    <n v="0"/>
  </r>
  <r>
    <x v="2"/>
    <x v="5"/>
    <s v="Cartago"/>
    <s v="Cantonal o desconocida"/>
    <x v="3"/>
    <x v="0"/>
    <n v="76"/>
    <x v="1"/>
    <x v="6"/>
    <x v="9"/>
    <n v="0"/>
    <n v="0"/>
  </r>
  <r>
    <x v="0"/>
    <x v="2"/>
    <s v="alajuela"/>
    <s v="Cantonal o desconocida"/>
    <x v="5"/>
    <x v="0"/>
    <n v="44"/>
    <x v="5"/>
    <x v="6"/>
    <x v="5"/>
    <n v="0"/>
    <n v="0"/>
  </r>
  <r>
    <x v="0"/>
    <x v="2"/>
    <s v="Atenas"/>
    <n v="27"/>
    <x v="0"/>
    <x v="0"/>
    <n v="22"/>
    <x v="2"/>
    <x v="6"/>
    <x v="1"/>
    <n v="1"/>
    <n v="0"/>
  </r>
  <r>
    <x v="1"/>
    <x v="1"/>
    <s v="Osa"/>
    <n v="34"/>
    <x v="2"/>
    <x v="0"/>
    <n v="50"/>
    <x v="2"/>
    <x v="6"/>
    <x v="12"/>
    <n v="0"/>
    <n v="0"/>
  </r>
  <r>
    <x v="3"/>
    <x v="6"/>
    <s v="Pococí"/>
    <n v="32"/>
    <x v="4"/>
    <x v="2"/>
    <s v="Desconocida"/>
    <x v="2"/>
    <x v="6"/>
    <x v="13"/>
    <n v="0"/>
    <n v="0"/>
  </r>
  <r>
    <x v="1"/>
    <x v="0"/>
    <s v="Bagaces"/>
    <n v="933"/>
    <x v="0"/>
    <x v="0"/>
    <n v="64"/>
    <x v="2"/>
    <x v="6"/>
    <x v="11"/>
    <n v="1"/>
    <n v="0"/>
  </r>
  <r>
    <x v="1"/>
    <x v="3"/>
    <s v="Pérez Zeledón"/>
    <n v="244"/>
    <x v="0"/>
    <x v="1"/>
    <n v="23"/>
    <x v="4"/>
    <x v="6"/>
    <x v="1"/>
    <n v="0"/>
    <n v="0"/>
  </r>
  <r>
    <x v="2"/>
    <x v="3"/>
    <s v="San José"/>
    <n v="39"/>
    <x v="3"/>
    <x v="2"/>
    <s v="Desconocida"/>
    <x v="1"/>
    <x v="6"/>
    <x v="13"/>
    <n v="0"/>
    <n v="0"/>
  </r>
  <r>
    <x v="6"/>
    <x v="3"/>
    <s v="Tibás"/>
    <n v="39"/>
    <x v="0"/>
    <x v="0"/>
    <n v="21"/>
    <x v="2"/>
    <x v="6"/>
    <x v="1"/>
    <n v="1"/>
    <n v="0"/>
  </r>
  <r>
    <x v="0"/>
    <x v="1"/>
    <s v="Buenos Aires"/>
    <n v="2"/>
    <x v="2"/>
    <x v="0"/>
    <n v="19"/>
    <x v="2"/>
    <x v="6"/>
    <x v="6"/>
    <n v="0"/>
    <n v="0"/>
  </r>
  <r>
    <x v="1"/>
    <x v="2"/>
    <s v="San Ramón"/>
    <n v="742"/>
    <x v="0"/>
    <x v="0"/>
    <n v="34"/>
    <x v="6"/>
    <x v="6"/>
    <x v="3"/>
    <n v="1"/>
    <n v="0"/>
  </r>
  <r>
    <x v="1"/>
    <x v="1"/>
    <s v="Golfito"/>
    <s v="Cantonal o desconocida"/>
    <x v="0"/>
    <x v="0"/>
    <n v="36"/>
    <x v="6"/>
    <x v="6"/>
    <x v="7"/>
    <n v="1"/>
    <n v="0"/>
  </r>
  <r>
    <x v="0"/>
    <x v="2"/>
    <s v="San Carlos"/>
    <n v="141"/>
    <x v="0"/>
    <x v="0"/>
    <n v="57"/>
    <x v="0"/>
    <x v="6"/>
    <x v="8"/>
    <n v="0"/>
    <n v="0"/>
  </r>
  <r>
    <x v="7"/>
    <x v="4"/>
    <s v="Heredia"/>
    <n v="3"/>
    <x v="0"/>
    <x v="0"/>
    <n v="45"/>
    <x v="1"/>
    <x v="6"/>
    <x v="2"/>
    <n v="0"/>
    <n v="0"/>
  </r>
  <r>
    <x v="8"/>
    <x v="2"/>
    <s v="San Carlos"/>
    <n v="4"/>
    <x v="0"/>
    <x v="0"/>
    <n v="29"/>
    <x v="1"/>
    <x v="6"/>
    <x v="0"/>
    <n v="0"/>
    <n v="0"/>
  </r>
  <r>
    <x v="1"/>
    <x v="0"/>
    <s v="Abangares"/>
    <n v="18"/>
    <x v="0"/>
    <x v="0"/>
    <n v="62"/>
    <x v="5"/>
    <x v="6"/>
    <x v="11"/>
    <n v="0"/>
    <n v="0"/>
  </r>
  <r>
    <x v="0"/>
    <x v="6"/>
    <s v="Talamanca"/>
    <n v="36"/>
    <x v="0"/>
    <x v="1"/>
    <n v="14"/>
    <x v="5"/>
    <x v="6"/>
    <x v="10"/>
    <n v="0"/>
    <n v="1"/>
  </r>
  <r>
    <x v="1"/>
    <x v="2"/>
    <s v="San Ramón"/>
    <n v="742"/>
    <x v="0"/>
    <x v="0"/>
    <n v="34"/>
    <x v="6"/>
    <x v="6"/>
    <x v="3"/>
    <n v="1"/>
    <n v="0"/>
  </r>
  <r>
    <x v="0"/>
    <x v="0"/>
    <s v="Liberia"/>
    <n v="1"/>
    <x v="5"/>
    <x v="1"/>
    <n v="44"/>
    <x v="2"/>
    <x v="6"/>
    <x v="5"/>
    <n v="0"/>
    <n v="0"/>
  </r>
  <r>
    <x v="2"/>
    <x v="1"/>
    <s v="Puntarenas"/>
    <n v="17"/>
    <x v="3"/>
    <x v="0"/>
    <s v="Desconocida"/>
    <x v="3"/>
    <x v="6"/>
    <x v="13"/>
    <n v="0"/>
    <n v="0"/>
  </r>
  <r>
    <x v="4"/>
    <x v="3"/>
    <s v="San José"/>
    <s v="Cantonal o desconocida"/>
    <x v="1"/>
    <x v="1"/>
    <n v="38"/>
    <x v="3"/>
    <x v="6"/>
    <x v="7"/>
    <n v="0"/>
    <n v="0"/>
  </r>
  <r>
    <x v="0"/>
    <x v="6"/>
    <s v="limón"/>
    <n v="36"/>
    <x v="0"/>
    <x v="0"/>
    <n v="32"/>
    <x v="1"/>
    <x v="6"/>
    <x v="3"/>
    <n v="0"/>
    <n v="0"/>
  </r>
  <r>
    <x v="2"/>
    <x v="5"/>
    <s v="Cartago"/>
    <s v="Cantonal o desconocida"/>
    <x v="2"/>
    <x v="0"/>
    <s v="Desconocida"/>
    <x v="1"/>
    <x v="7"/>
    <x v="13"/>
    <n v="0"/>
    <n v="0"/>
  </r>
  <r>
    <x v="4"/>
    <x v="3"/>
    <s v="Moravia"/>
    <s v="Cantonal o desconocida"/>
    <x v="0"/>
    <x v="0"/>
    <n v="36"/>
    <x v="2"/>
    <x v="7"/>
    <x v="7"/>
    <n v="1"/>
    <n v="0"/>
  </r>
  <r>
    <x v="0"/>
    <x v="1"/>
    <s v="Corredores"/>
    <n v="2"/>
    <x v="0"/>
    <x v="0"/>
    <n v="31"/>
    <x v="6"/>
    <x v="7"/>
    <x v="3"/>
    <n v="1"/>
    <n v="0"/>
  </r>
  <r>
    <x v="1"/>
    <x v="0"/>
    <s v="Cañas"/>
    <s v="cantonal o desconocida"/>
    <x v="0"/>
    <x v="0"/>
    <n v="30"/>
    <x v="4"/>
    <x v="7"/>
    <x v="3"/>
    <n v="0"/>
    <n v="0"/>
  </r>
  <r>
    <x v="8"/>
    <x v="2"/>
    <s v="Guatuso"/>
    <n v="4"/>
    <x v="0"/>
    <x v="0"/>
    <n v="29"/>
    <x v="3"/>
    <x v="7"/>
    <x v="0"/>
    <n v="0"/>
    <n v="0"/>
  </r>
  <r>
    <x v="4"/>
    <x v="6"/>
    <s v="Pococí"/>
    <s v="Cantonal o desconocida"/>
    <x v="4"/>
    <x v="0"/>
    <n v="44"/>
    <x v="4"/>
    <x v="7"/>
    <x v="5"/>
    <n v="0"/>
    <n v="0"/>
  </r>
  <r>
    <x v="0"/>
    <x v="2"/>
    <s v="San Carlos"/>
    <n v="250"/>
    <x v="0"/>
    <x v="0"/>
    <n v="29"/>
    <x v="1"/>
    <x v="7"/>
    <x v="0"/>
    <n v="0"/>
    <n v="0"/>
  </r>
  <r>
    <x v="6"/>
    <x v="2"/>
    <s v="Orotina"/>
    <n v="27"/>
    <x v="2"/>
    <x v="0"/>
    <n v="30"/>
    <x v="6"/>
    <x v="7"/>
    <x v="3"/>
    <n v="0"/>
    <n v="0"/>
  </r>
  <r>
    <x v="6"/>
    <x v="2"/>
    <s v="Orotina"/>
    <n v="27"/>
    <x v="1"/>
    <x v="1"/>
    <n v="25"/>
    <x v="6"/>
    <x v="7"/>
    <x v="0"/>
    <n v="0"/>
    <n v="0"/>
  </r>
  <r>
    <x v="0"/>
    <x v="1"/>
    <s v="Buenos Aires"/>
    <n v="246"/>
    <x v="0"/>
    <x v="1"/>
    <n v="26"/>
    <x v="0"/>
    <x v="7"/>
    <x v="0"/>
    <n v="0"/>
    <n v="0"/>
  </r>
  <r>
    <x v="1"/>
    <x v="4"/>
    <s v="Sarapiquí"/>
    <n v="4"/>
    <x v="2"/>
    <x v="0"/>
    <n v="34"/>
    <x v="4"/>
    <x v="7"/>
    <x v="3"/>
    <n v="0"/>
    <n v="0"/>
  </r>
  <r>
    <x v="0"/>
    <x v="2"/>
    <s v="Sarchí"/>
    <n v="708"/>
    <x v="0"/>
    <x v="0"/>
    <n v="20"/>
    <x v="1"/>
    <x v="7"/>
    <x v="1"/>
    <n v="0"/>
    <n v="0"/>
  </r>
  <r>
    <x v="0"/>
    <x v="3"/>
    <s v="San José"/>
    <s v="Cantonal o desconocida"/>
    <x v="0"/>
    <x v="0"/>
    <n v="39"/>
    <x v="5"/>
    <x v="7"/>
    <x v="7"/>
    <n v="0"/>
    <n v="0"/>
  </r>
  <r>
    <x v="1"/>
    <x v="1"/>
    <s v="Corredores"/>
    <n v="2"/>
    <x v="2"/>
    <x v="0"/>
    <n v="44"/>
    <x v="6"/>
    <x v="7"/>
    <x v="5"/>
    <n v="0"/>
    <n v="0"/>
  </r>
  <r>
    <x v="5"/>
    <x v="1"/>
    <s v="Puntarenas"/>
    <n v="1"/>
    <x v="1"/>
    <x v="0"/>
    <n v="14"/>
    <x v="6"/>
    <x v="7"/>
    <x v="10"/>
    <n v="0"/>
    <n v="0"/>
  </r>
  <r>
    <x v="1"/>
    <x v="1"/>
    <s v="Quepos"/>
    <n v="34"/>
    <x v="0"/>
    <x v="0"/>
    <n v="43"/>
    <x v="6"/>
    <x v="7"/>
    <x v="5"/>
    <n v="1"/>
    <n v="0"/>
  </r>
  <r>
    <x v="1"/>
    <x v="2"/>
    <s v="San Carlos"/>
    <n v="142"/>
    <x v="2"/>
    <x v="0"/>
    <n v="28"/>
    <x v="3"/>
    <x v="7"/>
    <x v="0"/>
    <n v="0"/>
    <n v="0"/>
  </r>
  <r>
    <x v="1"/>
    <x v="1"/>
    <s v="Garabito"/>
    <n v="34"/>
    <x v="2"/>
    <x v="0"/>
    <n v="64"/>
    <x v="3"/>
    <x v="7"/>
    <x v="11"/>
    <n v="0"/>
    <n v="0"/>
  </r>
  <r>
    <x v="1"/>
    <x v="1"/>
    <s v="Garabito"/>
    <n v="34"/>
    <x v="1"/>
    <x v="0"/>
    <n v="57"/>
    <x v="3"/>
    <x v="7"/>
    <x v="8"/>
    <n v="0"/>
    <n v="0"/>
  </r>
  <r>
    <x v="0"/>
    <x v="1"/>
    <s v="Garabito"/>
    <n v="34"/>
    <x v="0"/>
    <x v="0"/>
    <n v="24"/>
    <x v="3"/>
    <x v="7"/>
    <x v="1"/>
    <n v="0"/>
    <n v="0"/>
  </r>
  <r>
    <x v="0"/>
    <x v="3"/>
    <s v="San José"/>
    <s v="Cantonal o desconocida"/>
    <x v="2"/>
    <x v="1"/>
    <n v="27"/>
    <x v="3"/>
    <x v="7"/>
    <x v="0"/>
    <n v="0"/>
    <n v="0"/>
  </r>
  <r>
    <x v="3"/>
    <x v="4"/>
    <s v="Flores"/>
    <n v="3"/>
    <x v="4"/>
    <x v="1"/>
    <n v="34"/>
    <x v="1"/>
    <x v="7"/>
    <x v="3"/>
    <n v="0"/>
    <n v="0"/>
  </r>
  <r>
    <x v="3"/>
    <x v="1"/>
    <s v="Osa"/>
    <n v="2"/>
    <x v="4"/>
    <x v="0"/>
    <n v="27"/>
    <x v="1"/>
    <x v="7"/>
    <x v="0"/>
    <n v="0"/>
    <n v="0"/>
  </r>
  <r>
    <x v="1"/>
    <x v="0"/>
    <s v="Liberia"/>
    <n v="1"/>
    <x v="1"/>
    <x v="0"/>
    <s v="Desconocida"/>
    <x v="5"/>
    <x v="7"/>
    <x v="13"/>
    <n v="0"/>
    <n v="0"/>
  </r>
  <r>
    <x v="1"/>
    <x v="2"/>
    <s v="Upala"/>
    <n v="6"/>
    <x v="2"/>
    <x v="0"/>
    <n v="25"/>
    <x v="2"/>
    <x v="7"/>
    <x v="0"/>
    <n v="0"/>
    <n v="0"/>
  </r>
  <r>
    <x v="0"/>
    <x v="6"/>
    <s v="limón"/>
    <n v="36"/>
    <x v="0"/>
    <x v="0"/>
    <n v="31"/>
    <x v="6"/>
    <x v="7"/>
    <x v="3"/>
    <n v="1"/>
    <n v="0"/>
  </r>
  <r>
    <x v="3"/>
    <x v="3"/>
    <s v="Desamparados"/>
    <n v="209"/>
    <x v="4"/>
    <x v="0"/>
    <n v="16"/>
    <x v="3"/>
    <x v="7"/>
    <x v="6"/>
    <n v="0"/>
    <n v="0"/>
  </r>
  <r>
    <x v="0"/>
    <x v="2"/>
    <s v="Orotina"/>
    <n v="27"/>
    <x v="2"/>
    <x v="0"/>
    <n v="49"/>
    <x v="4"/>
    <x v="7"/>
    <x v="2"/>
    <n v="0"/>
    <n v="0"/>
  </r>
  <r>
    <x v="1"/>
    <x v="1"/>
    <s v="Puntarenas"/>
    <s v="Cantonal o desconocida"/>
    <x v="0"/>
    <x v="0"/>
    <n v="30"/>
    <x v="4"/>
    <x v="7"/>
    <x v="3"/>
    <n v="0"/>
    <n v="0"/>
  </r>
  <r>
    <x v="0"/>
    <x v="2"/>
    <s v="Alajuela"/>
    <s v="cantonal o desconocida"/>
    <x v="0"/>
    <x v="0"/>
    <n v="19"/>
    <x v="1"/>
    <x v="7"/>
    <x v="6"/>
    <n v="0"/>
    <n v="1"/>
  </r>
  <r>
    <x v="1"/>
    <x v="6"/>
    <s v="Siquirres"/>
    <n v="812"/>
    <x v="0"/>
    <x v="0"/>
    <n v="23"/>
    <x v="4"/>
    <x v="7"/>
    <x v="1"/>
    <n v="0"/>
    <n v="0"/>
  </r>
  <r>
    <x v="0"/>
    <x v="1"/>
    <s v="Osa"/>
    <n v="34"/>
    <x v="0"/>
    <x v="0"/>
    <n v="24"/>
    <x v="5"/>
    <x v="7"/>
    <x v="1"/>
    <n v="0"/>
    <n v="0"/>
  </r>
  <r>
    <x v="0"/>
    <x v="1"/>
    <s v="Puntarenas"/>
    <n v="160"/>
    <x v="0"/>
    <x v="0"/>
    <n v="40"/>
    <x v="5"/>
    <x v="7"/>
    <x v="5"/>
    <n v="0"/>
    <n v="0"/>
  </r>
  <r>
    <x v="0"/>
    <x v="1"/>
    <s v="Garabito"/>
    <n v="34"/>
    <x v="0"/>
    <x v="0"/>
    <s v="Desconocida"/>
    <x v="5"/>
    <x v="7"/>
    <x v="13"/>
    <n v="0"/>
    <n v="0"/>
  </r>
  <r>
    <x v="0"/>
    <x v="2"/>
    <s v="San Ramón"/>
    <n v="1"/>
    <x v="0"/>
    <x v="0"/>
    <n v="44"/>
    <x v="0"/>
    <x v="8"/>
    <x v="5"/>
    <n v="0"/>
    <n v="0"/>
  </r>
  <r>
    <x v="0"/>
    <x v="1"/>
    <s v="Coto Brus"/>
    <s v="Cantonal o desconocida"/>
    <x v="5"/>
    <x v="1"/>
    <n v="39"/>
    <x v="0"/>
    <x v="8"/>
    <x v="7"/>
    <n v="0"/>
    <n v="0"/>
  </r>
  <r>
    <x v="2"/>
    <x v="0"/>
    <s v="santa cruz"/>
    <n v="504"/>
    <x v="3"/>
    <x v="0"/>
    <n v="62"/>
    <x v="0"/>
    <x v="8"/>
    <x v="11"/>
    <n v="0"/>
    <n v="0"/>
  </r>
  <r>
    <x v="0"/>
    <x v="4"/>
    <s v="Heredia"/>
    <n v="1"/>
    <x v="4"/>
    <x v="0"/>
    <n v="37"/>
    <x v="3"/>
    <x v="8"/>
    <x v="7"/>
    <n v="0"/>
    <n v="0"/>
  </r>
  <r>
    <x v="1"/>
    <x v="3"/>
    <s v="Escazú"/>
    <n v="167"/>
    <x v="0"/>
    <x v="0"/>
    <n v="37"/>
    <x v="3"/>
    <x v="8"/>
    <x v="7"/>
    <n v="0"/>
    <n v="0"/>
  </r>
  <r>
    <x v="3"/>
    <x v="6"/>
    <s v="Talamanca"/>
    <n v="256"/>
    <x v="4"/>
    <x v="0"/>
    <n v="27"/>
    <x v="1"/>
    <x v="8"/>
    <x v="0"/>
    <n v="0"/>
    <n v="0"/>
  </r>
  <r>
    <x v="0"/>
    <x v="1"/>
    <s v="Osa"/>
    <n v="2"/>
    <x v="0"/>
    <x v="0"/>
    <n v="62"/>
    <x v="5"/>
    <x v="8"/>
    <x v="11"/>
    <n v="0"/>
    <n v="0"/>
  </r>
  <r>
    <x v="2"/>
    <x v="0"/>
    <s v="Nicoya"/>
    <n v="21"/>
    <x v="3"/>
    <x v="0"/>
    <n v="69"/>
    <x v="5"/>
    <x v="8"/>
    <x v="4"/>
    <n v="0"/>
    <n v="0"/>
  </r>
  <r>
    <x v="2"/>
    <x v="1"/>
    <s v="Garabito"/>
    <n v="34"/>
    <x v="3"/>
    <x v="0"/>
    <n v="34"/>
    <x v="6"/>
    <x v="8"/>
    <x v="3"/>
    <n v="0"/>
    <n v="0"/>
  </r>
  <r>
    <x v="1"/>
    <x v="2"/>
    <s v="Upala"/>
    <s v="Cantonal o desconocida"/>
    <x v="0"/>
    <x v="0"/>
    <n v="46"/>
    <x v="6"/>
    <x v="8"/>
    <x v="2"/>
    <n v="1"/>
    <n v="0"/>
  </r>
  <r>
    <x v="1"/>
    <x v="2"/>
    <s v="San Carlos"/>
    <n v="141"/>
    <x v="1"/>
    <x v="1"/>
    <n v="30"/>
    <x v="6"/>
    <x v="8"/>
    <x v="3"/>
    <n v="0"/>
    <n v="0"/>
  </r>
  <r>
    <x v="0"/>
    <x v="2"/>
    <s v="Upala"/>
    <n v="4"/>
    <x v="0"/>
    <x v="1"/>
    <s v="Desconocida"/>
    <x v="6"/>
    <x v="8"/>
    <x v="13"/>
    <n v="1"/>
    <n v="0"/>
  </r>
  <r>
    <x v="0"/>
    <x v="5"/>
    <s v="Paraíso"/>
    <n v="224"/>
    <x v="0"/>
    <x v="1"/>
    <n v="22"/>
    <x v="6"/>
    <x v="8"/>
    <x v="1"/>
    <n v="1"/>
    <n v="0"/>
  </r>
  <r>
    <x v="4"/>
    <x v="3"/>
    <s v="Montes de Oca"/>
    <n v="2"/>
    <x v="0"/>
    <x v="0"/>
    <n v="21"/>
    <x v="6"/>
    <x v="8"/>
    <x v="1"/>
    <n v="1"/>
    <n v="0"/>
  </r>
  <r>
    <x v="0"/>
    <x v="1"/>
    <s v="Puntarenas"/>
    <n v="614"/>
    <x v="0"/>
    <x v="0"/>
    <s v="Desconocida"/>
    <x v="0"/>
    <x v="8"/>
    <x v="13"/>
    <n v="0"/>
    <n v="0"/>
  </r>
  <r>
    <x v="0"/>
    <x v="2"/>
    <s v="Alajuela"/>
    <n v="1"/>
    <x v="0"/>
    <x v="0"/>
    <n v="22"/>
    <x v="3"/>
    <x v="8"/>
    <x v="1"/>
    <n v="0"/>
    <n v="0"/>
  </r>
  <r>
    <x v="0"/>
    <x v="2"/>
    <s v="Orotina"/>
    <n v="3"/>
    <x v="0"/>
    <x v="0"/>
    <n v="20"/>
    <x v="1"/>
    <x v="8"/>
    <x v="1"/>
    <n v="0"/>
    <n v="0"/>
  </r>
  <r>
    <x v="1"/>
    <x v="3"/>
    <s v="Pérez Zeledón"/>
    <s v="Cantonal o desconocida"/>
    <x v="2"/>
    <x v="1"/>
    <n v="34"/>
    <x v="1"/>
    <x v="8"/>
    <x v="3"/>
    <n v="0"/>
    <n v="0"/>
  </r>
  <r>
    <x v="0"/>
    <x v="5"/>
    <s v="Paraíso"/>
    <s v="Cantonal o desconocida"/>
    <x v="5"/>
    <x v="0"/>
    <n v="26"/>
    <x v="5"/>
    <x v="8"/>
    <x v="0"/>
    <n v="0"/>
    <n v="0"/>
  </r>
  <r>
    <x v="0"/>
    <x v="1"/>
    <s v="Garabito"/>
    <n v="34"/>
    <x v="5"/>
    <x v="1"/>
    <n v="36"/>
    <x v="2"/>
    <x v="8"/>
    <x v="7"/>
    <n v="0"/>
    <n v="0"/>
  </r>
  <r>
    <x v="4"/>
    <x v="5"/>
    <s v="Cartago"/>
    <n v="2"/>
    <x v="2"/>
    <x v="0"/>
    <n v="25"/>
    <x v="2"/>
    <x v="8"/>
    <x v="0"/>
    <n v="0"/>
    <n v="0"/>
  </r>
  <r>
    <x v="0"/>
    <x v="1"/>
    <s v="Esparza"/>
    <n v="23"/>
    <x v="2"/>
    <x v="0"/>
    <n v="43"/>
    <x v="2"/>
    <x v="8"/>
    <x v="5"/>
    <n v="0"/>
    <n v="0"/>
  </r>
  <r>
    <x v="4"/>
    <x v="3"/>
    <s v="San José"/>
    <s v="Cantonal o desconocida"/>
    <x v="4"/>
    <x v="0"/>
    <n v="59"/>
    <x v="6"/>
    <x v="8"/>
    <x v="8"/>
    <n v="0"/>
    <n v="0"/>
  </r>
  <r>
    <x v="0"/>
    <x v="6"/>
    <s v="Pococí"/>
    <n v="247"/>
    <x v="0"/>
    <x v="0"/>
    <n v="39"/>
    <x v="6"/>
    <x v="8"/>
    <x v="7"/>
    <n v="1"/>
    <n v="0"/>
  </r>
  <r>
    <x v="0"/>
    <x v="0"/>
    <s v="Carrillo"/>
    <n v="912"/>
    <x v="0"/>
    <x v="0"/>
    <n v="63"/>
    <x v="0"/>
    <x v="8"/>
    <x v="11"/>
    <n v="0"/>
    <n v="0"/>
  </r>
  <r>
    <x v="3"/>
    <x v="1"/>
    <s v="OSA"/>
    <n v="2"/>
    <x v="4"/>
    <x v="0"/>
    <n v="33"/>
    <x v="0"/>
    <x v="8"/>
    <x v="3"/>
    <n v="0"/>
    <n v="0"/>
  </r>
  <r>
    <x v="2"/>
    <x v="6"/>
    <s v="Pococí"/>
    <n v="32"/>
    <x v="3"/>
    <x v="0"/>
    <n v="38"/>
    <x v="3"/>
    <x v="8"/>
    <x v="7"/>
    <n v="0"/>
    <n v="0"/>
  </r>
  <r>
    <x v="2"/>
    <x v="3"/>
    <s v="Pérez Zeledón"/>
    <n v="2"/>
    <x v="3"/>
    <x v="0"/>
    <n v="66"/>
    <x v="3"/>
    <x v="8"/>
    <x v="4"/>
    <n v="0"/>
    <n v="0"/>
  </r>
  <r>
    <x v="5"/>
    <x v="2"/>
    <s v="San Carlos"/>
    <n v="142"/>
    <x v="0"/>
    <x v="0"/>
    <n v="19"/>
    <x v="4"/>
    <x v="8"/>
    <x v="6"/>
    <n v="0"/>
    <n v="1"/>
  </r>
  <r>
    <x v="3"/>
    <x v="6"/>
    <s v="Matina"/>
    <n v="32"/>
    <x v="4"/>
    <x v="0"/>
    <n v="37"/>
    <x v="4"/>
    <x v="8"/>
    <x v="7"/>
    <n v="0"/>
    <n v="0"/>
  </r>
  <r>
    <x v="0"/>
    <x v="3"/>
    <s v="Santa Ana"/>
    <n v="121"/>
    <x v="0"/>
    <x v="0"/>
    <n v="27"/>
    <x v="4"/>
    <x v="8"/>
    <x v="0"/>
    <n v="0"/>
    <n v="0"/>
  </r>
  <r>
    <x v="2"/>
    <x v="6"/>
    <s v="Pococí"/>
    <n v="247"/>
    <x v="4"/>
    <x v="0"/>
    <n v="44"/>
    <x v="4"/>
    <x v="8"/>
    <x v="5"/>
    <n v="0"/>
    <n v="0"/>
  </r>
  <r>
    <x v="3"/>
    <x v="0"/>
    <s v="Nicoya"/>
    <n v="21"/>
    <x v="7"/>
    <x v="1"/>
    <n v="22"/>
    <x v="4"/>
    <x v="8"/>
    <x v="1"/>
    <n v="0"/>
    <n v="0"/>
  </r>
  <r>
    <x v="0"/>
    <x v="2"/>
    <s v="Alajuela"/>
    <n v="1"/>
    <x v="0"/>
    <x v="0"/>
    <n v="44"/>
    <x v="1"/>
    <x v="8"/>
    <x v="5"/>
    <n v="0"/>
    <n v="0"/>
  </r>
  <r>
    <x v="0"/>
    <x v="4"/>
    <s v="Heredia"/>
    <n v="1"/>
    <x v="0"/>
    <x v="0"/>
    <n v="28"/>
    <x v="1"/>
    <x v="8"/>
    <x v="0"/>
    <n v="0"/>
    <n v="0"/>
  </r>
  <r>
    <x v="2"/>
    <x v="4"/>
    <s v="Sarapiquí"/>
    <n v="229"/>
    <x v="4"/>
    <x v="0"/>
    <n v="43"/>
    <x v="2"/>
    <x v="8"/>
    <x v="5"/>
    <n v="0"/>
    <n v="0"/>
  </r>
  <r>
    <x v="0"/>
    <x v="4"/>
    <s v="sarapiquí"/>
    <n v="4"/>
    <x v="0"/>
    <x v="0"/>
    <n v="50"/>
    <x v="2"/>
    <x v="8"/>
    <x v="12"/>
    <n v="1"/>
    <n v="0"/>
  </r>
  <r>
    <x v="3"/>
    <x v="3"/>
    <s v="Desamparados"/>
    <n v="2"/>
    <x v="4"/>
    <x v="0"/>
    <n v="33"/>
    <x v="2"/>
    <x v="8"/>
    <x v="3"/>
    <n v="0"/>
    <n v="0"/>
  </r>
  <r>
    <x v="3"/>
    <x v="2"/>
    <s v="San Carlos"/>
    <n v="250"/>
    <x v="4"/>
    <x v="0"/>
    <n v="42"/>
    <x v="2"/>
    <x v="8"/>
    <x v="5"/>
    <n v="0"/>
    <n v="0"/>
  </r>
  <r>
    <x v="3"/>
    <x v="6"/>
    <s v="Pococí"/>
    <s v="Cantonal o desconocida"/>
    <x v="4"/>
    <x v="0"/>
    <n v="67"/>
    <x v="2"/>
    <x v="8"/>
    <x v="4"/>
    <n v="0"/>
    <n v="0"/>
  </r>
  <r>
    <x v="1"/>
    <x v="4"/>
    <s v="Sarapiquí"/>
    <s v="Cantonal o desconocida"/>
    <x v="4"/>
    <x v="0"/>
    <n v="25"/>
    <x v="2"/>
    <x v="8"/>
    <x v="0"/>
    <n v="0"/>
    <n v="0"/>
  </r>
  <r>
    <x v="1"/>
    <x v="1"/>
    <s v="Corredores"/>
    <n v="238"/>
    <x v="1"/>
    <x v="0"/>
    <n v="37"/>
    <x v="6"/>
    <x v="8"/>
    <x v="7"/>
    <n v="0"/>
    <n v="0"/>
  </r>
  <r>
    <x v="0"/>
    <x v="1"/>
    <s v="Coto Brus"/>
    <n v="613"/>
    <x v="0"/>
    <x v="0"/>
    <n v="40"/>
    <x v="6"/>
    <x v="8"/>
    <x v="5"/>
    <n v="1"/>
    <n v="0"/>
  </r>
  <r>
    <x v="2"/>
    <x v="3"/>
    <s v="Tibás"/>
    <n v="102"/>
    <x v="3"/>
    <x v="1"/>
    <n v="52"/>
    <x v="6"/>
    <x v="8"/>
    <x v="12"/>
    <n v="0"/>
    <n v="0"/>
  </r>
  <r>
    <x v="4"/>
    <x v="2"/>
    <s v="Río Cuarto"/>
    <n v="4"/>
    <x v="2"/>
    <x v="0"/>
    <n v="63"/>
    <x v="6"/>
    <x v="8"/>
    <x v="11"/>
    <n v="0"/>
    <n v="0"/>
  </r>
  <r>
    <x v="2"/>
    <x v="4"/>
    <s v="Belén"/>
    <n v="1"/>
    <x v="3"/>
    <x v="0"/>
    <n v="48"/>
    <x v="0"/>
    <x v="8"/>
    <x v="2"/>
    <n v="0"/>
    <n v="0"/>
  </r>
  <r>
    <x v="2"/>
    <x v="3"/>
    <s v="Pérez Zeledón"/>
    <n v="2"/>
    <x v="3"/>
    <x v="1"/>
    <n v="78"/>
    <x v="4"/>
    <x v="8"/>
    <x v="9"/>
    <n v="0"/>
    <n v="0"/>
  </r>
  <r>
    <x v="0"/>
    <x v="0"/>
    <s v="Liberia"/>
    <s v="Cantonal o desconocida"/>
    <x v="5"/>
    <x v="0"/>
    <n v="45"/>
    <x v="1"/>
    <x v="8"/>
    <x v="2"/>
    <n v="0"/>
    <n v="0"/>
  </r>
  <r>
    <x v="2"/>
    <x v="2"/>
    <s v="Grecia"/>
    <s v="Cantonal o desconocida"/>
    <x v="3"/>
    <x v="0"/>
    <n v="64"/>
    <x v="5"/>
    <x v="8"/>
    <x v="11"/>
    <n v="0"/>
    <n v="0"/>
  </r>
  <r>
    <x v="0"/>
    <x v="2"/>
    <s v="Orotina"/>
    <n v="27"/>
    <x v="5"/>
    <x v="1"/>
    <n v="34"/>
    <x v="2"/>
    <x v="8"/>
    <x v="3"/>
    <n v="0"/>
    <n v="0"/>
  </r>
  <r>
    <x v="3"/>
    <x v="6"/>
    <s v="Siquirres"/>
    <n v="806"/>
    <x v="0"/>
    <x v="1"/>
    <n v="24"/>
    <x v="2"/>
    <x v="8"/>
    <x v="1"/>
    <n v="1"/>
    <n v="0"/>
  </r>
  <r>
    <x v="2"/>
    <x v="1"/>
    <s v="Puntarenas"/>
    <n v="17"/>
    <x v="3"/>
    <x v="0"/>
    <n v="20"/>
    <x v="6"/>
    <x v="8"/>
    <x v="1"/>
    <n v="0"/>
    <n v="0"/>
  </r>
  <r>
    <x v="0"/>
    <x v="6"/>
    <s v="Pococí"/>
    <n v="247"/>
    <x v="0"/>
    <x v="0"/>
    <n v="18"/>
    <x v="6"/>
    <x v="8"/>
    <x v="6"/>
    <n v="1"/>
    <n v="1"/>
  </r>
  <r>
    <x v="0"/>
    <x v="6"/>
    <s v="Pococí"/>
    <s v="Cantonal o desconocida"/>
    <x v="0"/>
    <x v="0"/>
    <n v="26"/>
    <x v="6"/>
    <x v="8"/>
    <x v="0"/>
    <n v="1"/>
    <n v="0"/>
  </r>
  <r>
    <x v="0"/>
    <x v="6"/>
    <s v="Pococí"/>
    <s v="Cantonal o desconocida"/>
    <x v="0"/>
    <x v="0"/>
    <n v="21"/>
    <x v="6"/>
    <x v="8"/>
    <x v="1"/>
    <n v="1"/>
    <n v="0"/>
  </r>
  <r>
    <x v="0"/>
    <x v="0"/>
    <s v="Santa Cruz"/>
    <n v="152"/>
    <x v="0"/>
    <x v="0"/>
    <n v="27"/>
    <x v="3"/>
    <x v="9"/>
    <x v="0"/>
    <n v="0"/>
    <n v="0"/>
  </r>
  <r>
    <x v="0"/>
    <x v="3"/>
    <s v="San José"/>
    <s v="Cantonal o desconocida"/>
    <x v="0"/>
    <x v="0"/>
    <n v="40"/>
    <x v="4"/>
    <x v="9"/>
    <x v="5"/>
    <n v="0"/>
    <n v="0"/>
  </r>
  <r>
    <x v="1"/>
    <x v="1"/>
    <s v="Buenos Aires"/>
    <n v="2"/>
    <x v="2"/>
    <x v="0"/>
    <n v="31"/>
    <x v="1"/>
    <x v="9"/>
    <x v="3"/>
    <n v="0"/>
    <n v="0"/>
  </r>
  <r>
    <x v="2"/>
    <x v="2"/>
    <s v="Alajuela"/>
    <s v="Cantonal o desconocida"/>
    <x v="3"/>
    <x v="0"/>
    <n v="44"/>
    <x v="1"/>
    <x v="9"/>
    <x v="5"/>
    <n v="0"/>
    <n v="0"/>
  </r>
  <r>
    <x v="0"/>
    <x v="1"/>
    <s v="Montes de Oro"/>
    <n v="1"/>
    <x v="5"/>
    <x v="0"/>
    <n v="27"/>
    <x v="1"/>
    <x v="9"/>
    <x v="0"/>
    <n v="0"/>
    <n v="0"/>
  </r>
  <r>
    <x v="2"/>
    <x v="6"/>
    <s v="Siquirres"/>
    <s v="Cantonal o desconocida"/>
    <x v="3"/>
    <x v="0"/>
    <n v="21"/>
    <x v="5"/>
    <x v="9"/>
    <x v="1"/>
    <n v="0"/>
    <n v="0"/>
  </r>
  <r>
    <x v="0"/>
    <x v="2"/>
    <s v="Alajuela"/>
    <n v="27"/>
    <x v="2"/>
    <x v="0"/>
    <n v="40"/>
    <x v="5"/>
    <x v="9"/>
    <x v="5"/>
    <n v="0"/>
    <n v="0"/>
  </r>
  <r>
    <x v="0"/>
    <x v="2"/>
    <s v="Los Chiles"/>
    <n v="35"/>
    <x v="0"/>
    <x v="0"/>
    <n v="48"/>
    <x v="2"/>
    <x v="9"/>
    <x v="2"/>
    <n v="1"/>
    <n v="0"/>
  </r>
  <r>
    <x v="0"/>
    <x v="2"/>
    <s v="Los Chiles"/>
    <n v="35"/>
    <x v="0"/>
    <x v="0"/>
    <n v="20"/>
    <x v="2"/>
    <x v="9"/>
    <x v="1"/>
    <n v="1"/>
    <n v="0"/>
  </r>
  <r>
    <x v="0"/>
    <x v="3"/>
    <s v="San José"/>
    <s v="Cantonal o desconocida"/>
    <x v="0"/>
    <x v="0"/>
    <n v="24"/>
    <x v="0"/>
    <x v="9"/>
    <x v="1"/>
    <n v="0"/>
    <n v="0"/>
  </r>
  <r>
    <x v="1"/>
    <x v="2"/>
    <s v="Zarcero"/>
    <n v="141"/>
    <x v="2"/>
    <x v="1"/>
    <n v="54"/>
    <x v="3"/>
    <x v="9"/>
    <x v="12"/>
    <n v="0"/>
    <n v="0"/>
  </r>
  <r>
    <x v="6"/>
    <x v="3"/>
    <s v="San José"/>
    <s v="Cantonal o desconocida"/>
    <x v="2"/>
    <x v="0"/>
    <n v="19"/>
    <x v="3"/>
    <x v="9"/>
    <x v="6"/>
    <n v="0"/>
    <n v="0"/>
  </r>
  <r>
    <x v="2"/>
    <x v="1"/>
    <s v="Quepos"/>
    <s v="Cantonal o desconocida"/>
    <x v="3"/>
    <x v="0"/>
    <n v="52"/>
    <x v="4"/>
    <x v="9"/>
    <x v="12"/>
    <n v="0"/>
    <n v="0"/>
  </r>
  <r>
    <x v="2"/>
    <x v="1"/>
    <s v="Esparza"/>
    <n v="27"/>
    <x v="3"/>
    <x v="0"/>
    <n v="40"/>
    <x v="4"/>
    <x v="9"/>
    <x v="5"/>
    <n v="0"/>
    <n v="0"/>
  </r>
  <r>
    <x v="0"/>
    <x v="2"/>
    <s v="Atenas"/>
    <n v="135"/>
    <x v="0"/>
    <x v="0"/>
    <n v="20"/>
    <x v="5"/>
    <x v="9"/>
    <x v="1"/>
    <n v="0"/>
    <n v="0"/>
  </r>
  <r>
    <x v="0"/>
    <x v="1"/>
    <s v="Garabito"/>
    <n v="34"/>
    <x v="0"/>
    <x v="0"/>
    <n v="57"/>
    <x v="5"/>
    <x v="9"/>
    <x v="8"/>
    <n v="0"/>
    <n v="0"/>
  </r>
  <r>
    <x v="6"/>
    <x v="3"/>
    <s v="Desamparados"/>
    <s v="Cantonal o desconocida"/>
    <x v="8"/>
    <x v="0"/>
    <n v="31"/>
    <x v="5"/>
    <x v="9"/>
    <x v="3"/>
    <n v="0"/>
    <n v="0"/>
  </r>
  <r>
    <x v="2"/>
    <x v="3"/>
    <s v="Escazú"/>
    <n v="27"/>
    <x v="3"/>
    <x v="0"/>
    <n v="30"/>
    <x v="2"/>
    <x v="9"/>
    <x v="3"/>
    <n v="0"/>
    <n v="0"/>
  </r>
  <r>
    <x v="2"/>
    <x v="6"/>
    <s v="Siquirres"/>
    <n v="32"/>
    <x v="4"/>
    <x v="0"/>
    <n v="24"/>
    <x v="6"/>
    <x v="9"/>
    <x v="1"/>
    <n v="0"/>
    <n v="0"/>
  </r>
  <r>
    <x v="2"/>
    <x v="0"/>
    <s v="Liberia"/>
    <n v="917"/>
    <x v="0"/>
    <x v="0"/>
    <n v="19"/>
    <x v="3"/>
    <x v="9"/>
    <x v="6"/>
    <n v="0"/>
    <n v="1"/>
  </r>
  <r>
    <x v="0"/>
    <x v="4"/>
    <s v="Heredia"/>
    <n v="1"/>
    <x v="0"/>
    <x v="0"/>
    <s v="Desconocida"/>
    <x v="3"/>
    <x v="9"/>
    <x v="13"/>
    <n v="0"/>
    <n v="0"/>
  </r>
  <r>
    <x v="3"/>
    <x v="0"/>
    <s v="Abangares"/>
    <n v="1"/>
    <x v="4"/>
    <x v="0"/>
    <n v="30"/>
    <x v="4"/>
    <x v="9"/>
    <x v="3"/>
    <n v="0"/>
    <n v="0"/>
  </r>
  <r>
    <x v="0"/>
    <x v="5"/>
    <s v="La Unión"/>
    <n v="2"/>
    <x v="2"/>
    <x v="0"/>
    <s v="Desconocida"/>
    <x v="5"/>
    <x v="9"/>
    <x v="13"/>
    <n v="0"/>
    <n v="0"/>
  </r>
  <r>
    <x v="0"/>
    <x v="1"/>
    <s v="Quepos"/>
    <n v="34"/>
    <x v="1"/>
    <x v="1"/>
    <n v="36"/>
    <x v="2"/>
    <x v="9"/>
    <x v="7"/>
    <n v="0"/>
    <n v="0"/>
  </r>
  <r>
    <x v="0"/>
    <x v="6"/>
    <s v="Pococí"/>
    <n v="810"/>
    <x v="0"/>
    <x v="0"/>
    <n v="42"/>
    <x v="2"/>
    <x v="9"/>
    <x v="5"/>
    <n v="1"/>
    <n v="0"/>
  </r>
  <r>
    <x v="0"/>
    <x v="1"/>
    <s v="Corredores"/>
    <s v="Cantonal o desconocida"/>
    <x v="0"/>
    <x v="0"/>
    <n v="21"/>
    <x v="2"/>
    <x v="9"/>
    <x v="1"/>
    <n v="1"/>
    <n v="0"/>
  </r>
  <r>
    <x v="2"/>
    <x v="1"/>
    <s v="Garabito"/>
    <n v="34"/>
    <x v="3"/>
    <x v="0"/>
    <n v="28"/>
    <x v="6"/>
    <x v="9"/>
    <x v="0"/>
    <n v="0"/>
    <n v="0"/>
  </r>
  <r>
    <x v="4"/>
    <x v="0"/>
    <s v="Carrillo"/>
    <n v="151"/>
    <x v="0"/>
    <x v="0"/>
    <n v="20"/>
    <x v="6"/>
    <x v="9"/>
    <x v="1"/>
    <n v="1"/>
    <n v="0"/>
  </r>
  <r>
    <x v="0"/>
    <x v="2"/>
    <s v="Grecia"/>
    <n v="717"/>
    <x v="0"/>
    <x v="0"/>
    <n v="22"/>
    <x v="0"/>
    <x v="9"/>
    <x v="1"/>
    <n v="0"/>
    <n v="0"/>
  </r>
  <r>
    <x v="3"/>
    <x v="6"/>
    <s v="Pococí"/>
    <n v="249"/>
    <x v="4"/>
    <x v="0"/>
    <n v="76"/>
    <x v="3"/>
    <x v="9"/>
    <x v="9"/>
    <n v="0"/>
    <n v="0"/>
  </r>
  <r>
    <x v="0"/>
    <x v="6"/>
    <s v="Limón"/>
    <n v="36"/>
    <x v="0"/>
    <x v="0"/>
    <n v="16"/>
    <x v="4"/>
    <x v="9"/>
    <x v="6"/>
    <n v="0"/>
    <n v="1"/>
  </r>
  <r>
    <x v="4"/>
    <x v="0"/>
    <s v="Bagaces"/>
    <n v="164"/>
    <x v="0"/>
    <x v="0"/>
    <n v="29"/>
    <x v="1"/>
    <x v="9"/>
    <x v="0"/>
    <n v="0"/>
    <n v="0"/>
  </r>
  <r>
    <x v="5"/>
    <x v="6"/>
    <s v="Pococí"/>
    <n v="32"/>
    <x v="2"/>
    <x v="0"/>
    <n v="19"/>
    <x v="1"/>
    <x v="9"/>
    <x v="6"/>
    <n v="0"/>
    <n v="0"/>
  </r>
  <r>
    <x v="0"/>
    <x v="2"/>
    <s v="San Carlos"/>
    <n v="140"/>
    <x v="0"/>
    <x v="0"/>
    <n v="22"/>
    <x v="1"/>
    <x v="9"/>
    <x v="1"/>
    <n v="0"/>
    <n v="0"/>
  </r>
  <r>
    <x v="1"/>
    <x v="0"/>
    <s v="Santa Cruz"/>
    <n v="155"/>
    <x v="1"/>
    <x v="0"/>
    <n v="29"/>
    <x v="2"/>
    <x v="9"/>
    <x v="0"/>
    <n v="0"/>
    <n v="0"/>
  </r>
  <r>
    <x v="0"/>
    <x v="6"/>
    <s v="Pococí"/>
    <n v="247"/>
    <x v="0"/>
    <x v="0"/>
    <n v="25"/>
    <x v="2"/>
    <x v="9"/>
    <x v="0"/>
    <n v="1"/>
    <n v="0"/>
  </r>
  <r>
    <x v="4"/>
    <x v="1"/>
    <s v="Puntarenas"/>
    <n v="132"/>
    <x v="2"/>
    <x v="0"/>
    <n v="44"/>
    <x v="6"/>
    <x v="9"/>
    <x v="5"/>
    <n v="0"/>
    <n v="0"/>
  </r>
  <r>
    <x v="5"/>
    <x v="2"/>
    <s v="San Carlos"/>
    <s v="Cantonal o desconocida"/>
    <x v="0"/>
    <x v="0"/>
    <s v="Desconocida"/>
    <x v="6"/>
    <x v="9"/>
    <x v="13"/>
    <n v="1"/>
    <n v="0"/>
  </r>
  <r>
    <x v="0"/>
    <x v="6"/>
    <s v="Talamanca"/>
    <n v="36"/>
    <x v="0"/>
    <x v="0"/>
    <n v="34"/>
    <x v="3"/>
    <x v="9"/>
    <x v="3"/>
    <n v="0"/>
    <n v="0"/>
  </r>
  <r>
    <x v="6"/>
    <x v="2"/>
    <s v="Naranjo"/>
    <n v="1"/>
    <x v="0"/>
    <x v="0"/>
    <n v="28"/>
    <x v="3"/>
    <x v="9"/>
    <x v="0"/>
    <n v="0"/>
    <n v="0"/>
  </r>
  <r>
    <x v="0"/>
    <x v="3"/>
    <s v="San José"/>
    <n v="214"/>
    <x v="0"/>
    <x v="0"/>
    <n v="19"/>
    <x v="1"/>
    <x v="9"/>
    <x v="6"/>
    <n v="0"/>
    <n v="1"/>
  </r>
  <r>
    <x v="6"/>
    <x v="6"/>
    <s v="Pococí"/>
    <n v="247"/>
    <x v="5"/>
    <x v="1"/>
    <n v="37"/>
    <x v="5"/>
    <x v="10"/>
    <x v="7"/>
    <n v="0"/>
    <n v="0"/>
  </r>
  <r>
    <x v="0"/>
    <x v="0"/>
    <s v="Nicoya"/>
    <s v="Cantonal o desconocida"/>
    <x v="0"/>
    <x v="0"/>
    <n v="22"/>
    <x v="2"/>
    <x v="10"/>
    <x v="1"/>
    <n v="1"/>
    <n v="0"/>
  </r>
  <r>
    <x v="0"/>
    <x v="6"/>
    <s v="Matina"/>
    <s v="Cantonal o desconocida"/>
    <x v="4"/>
    <x v="0"/>
    <s v="Desconocida"/>
    <x v="2"/>
    <x v="10"/>
    <x v="13"/>
    <n v="0"/>
    <n v="0"/>
  </r>
  <r>
    <x v="4"/>
    <x v="2"/>
    <s v="Alajuela"/>
    <n v="153"/>
    <x v="0"/>
    <x v="0"/>
    <n v="22"/>
    <x v="6"/>
    <x v="10"/>
    <x v="1"/>
    <n v="1"/>
    <n v="0"/>
  </r>
  <r>
    <x v="6"/>
    <x v="2"/>
    <s v="San Carlos"/>
    <n v="35"/>
    <x v="0"/>
    <x v="0"/>
    <n v="28"/>
    <x v="6"/>
    <x v="10"/>
    <x v="0"/>
    <n v="1"/>
    <n v="0"/>
  </r>
  <r>
    <x v="6"/>
    <x v="6"/>
    <s v="Guácimo"/>
    <s v="Cantonal o desconocida"/>
    <x v="0"/>
    <x v="0"/>
    <n v="29"/>
    <x v="6"/>
    <x v="10"/>
    <x v="0"/>
    <n v="1"/>
    <n v="0"/>
  </r>
  <r>
    <x v="1"/>
    <x v="2"/>
    <s v="Alajuela"/>
    <n v="126"/>
    <x v="2"/>
    <x v="0"/>
    <n v="40"/>
    <x v="0"/>
    <x v="10"/>
    <x v="5"/>
    <n v="0"/>
    <n v="0"/>
  </r>
  <r>
    <x v="1"/>
    <x v="2"/>
    <s v="Alajuela"/>
    <n v="126"/>
    <x v="1"/>
    <x v="0"/>
    <n v="30"/>
    <x v="0"/>
    <x v="10"/>
    <x v="3"/>
    <n v="0"/>
    <n v="0"/>
  </r>
  <r>
    <x v="0"/>
    <x v="0"/>
    <s v="Carrillo"/>
    <n v="21"/>
    <x v="6"/>
    <x v="0"/>
    <n v="82"/>
    <x v="0"/>
    <x v="10"/>
    <x v="9"/>
    <n v="0"/>
    <n v="0"/>
  </r>
  <r>
    <x v="0"/>
    <x v="0"/>
    <s v="Carrillo"/>
    <n v="21"/>
    <x v="2"/>
    <x v="0"/>
    <n v="47"/>
    <x v="0"/>
    <x v="10"/>
    <x v="2"/>
    <n v="0"/>
    <n v="0"/>
  </r>
  <r>
    <x v="2"/>
    <x v="3"/>
    <s v="San José"/>
    <s v="Cantonal o desconocida"/>
    <x v="3"/>
    <x v="0"/>
    <n v="43"/>
    <x v="3"/>
    <x v="10"/>
    <x v="5"/>
    <n v="0"/>
    <n v="0"/>
  </r>
  <r>
    <x v="1"/>
    <x v="1"/>
    <s v="Buenos Aires"/>
    <n v="2"/>
    <x v="0"/>
    <x v="0"/>
    <n v="19"/>
    <x v="4"/>
    <x v="10"/>
    <x v="6"/>
    <n v="0"/>
    <n v="1"/>
  </r>
  <r>
    <x v="6"/>
    <x v="4"/>
    <s v="Sarapiquí"/>
    <n v="4"/>
    <x v="0"/>
    <x v="0"/>
    <n v="56"/>
    <x v="4"/>
    <x v="10"/>
    <x v="8"/>
    <n v="0"/>
    <n v="0"/>
  </r>
  <r>
    <x v="0"/>
    <x v="0"/>
    <s v="Liberia"/>
    <n v="21"/>
    <x v="0"/>
    <x v="0"/>
    <n v="28"/>
    <x v="4"/>
    <x v="10"/>
    <x v="0"/>
    <n v="0"/>
    <n v="0"/>
  </r>
  <r>
    <x v="2"/>
    <x v="0"/>
    <s v="Abangares"/>
    <n v="1"/>
    <x v="3"/>
    <x v="0"/>
    <s v="Desconocida"/>
    <x v="1"/>
    <x v="10"/>
    <x v="13"/>
    <n v="0"/>
    <n v="0"/>
  </r>
  <r>
    <x v="1"/>
    <x v="3"/>
    <s v="Pérez Zeledón"/>
    <s v="Cantonal o desconocida"/>
    <x v="1"/>
    <x v="0"/>
    <n v="68"/>
    <x v="1"/>
    <x v="10"/>
    <x v="4"/>
    <n v="0"/>
    <n v="0"/>
  </r>
  <r>
    <x v="3"/>
    <x v="5"/>
    <s v="Turrialba"/>
    <n v="10"/>
    <x v="4"/>
    <x v="0"/>
    <n v="15"/>
    <x v="1"/>
    <x v="10"/>
    <x v="6"/>
    <n v="0"/>
    <n v="0"/>
  </r>
  <r>
    <x v="0"/>
    <x v="5"/>
    <s v="Cartago"/>
    <n v="219"/>
    <x v="0"/>
    <x v="0"/>
    <n v="22"/>
    <x v="1"/>
    <x v="10"/>
    <x v="1"/>
    <n v="0"/>
    <n v="0"/>
  </r>
  <r>
    <x v="0"/>
    <x v="1"/>
    <s v="Montes de Oro"/>
    <n v="144"/>
    <x v="0"/>
    <x v="0"/>
    <n v="75"/>
    <x v="6"/>
    <x v="10"/>
    <x v="9"/>
    <n v="1"/>
    <n v="0"/>
  </r>
  <r>
    <x v="2"/>
    <x v="2"/>
    <s v="San Carlos"/>
    <n v="141"/>
    <x v="4"/>
    <x v="0"/>
    <n v="71"/>
    <x v="6"/>
    <x v="10"/>
    <x v="15"/>
    <n v="0"/>
    <n v="0"/>
  </r>
  <r>
    <x v="0"/>
    <x v="0"/>
    <s v="Carrillo"/>
    <n v="21"/>
    <x v="5"/>
    <x v="1"/>
    <n v="75"/>
    <x v="0"/>
    <x v="10"/>
    <x v="9"/>
    <n v="0"/>
    <n v="0"/>
  </r>
  <r>
    <x v="0"/>
    <x v="1"/>
    <s v="Corredores"/>
    <n v="2"/>
    <x v="2"/>
    <x v="0"/>
    <n v="24"/>
    <x v="0"/>
    <x v="10"/>
    <x v="1"/>
    <n v="0"/>
    <n v="0"/>
  </r>
  <r>
    <x v="4"/>
    <x v="2"/>
    <s v="Upala"/>
    <n v="6"/>
    <x v="2"/>
    <x v="0"/>
    <n v="41"/>
    <x v="5"/>
    <x v="10"/>
    <x v="5"/>
    <n v="0"/>
    <n v="0"/>
  </r>
  <r>
    <x v="0"/>
    <x v="2"/>
    <s v="Alajuela"/>
    <n v="27"/>
    <x v="2"/>
    <x v="0"/>
    <n v="45"/>
    <x v="5"/>
    <x v="10"/>
    <x v="2"/>
    <n v="0"/>
    <n v="0"/>
  </r>
  <r>
    <x v="0"/>
    <x v="2"/>
    <s v="Alajuela"/>
    <n v="27"/>
    <x v="1"/>
    <x v="0"/>
    <n v="27"/>
    <x v="5"/>
    <x v="10"/>
    <x v="0"/>
    <n v="0"/>
    <n v="0"/>
  </r>
  <r>
    <x v="3"/>
    <x v="5"/>
    <s v="Turrialba"/>
    <n v="232"/>
    <x v="0"/>
    <x v="0"/>
    <n v="27"/>
    <x v="2"/>
    <x v="10"/>
    <x v="0"/>
    <n v="1"/>
    <n v="0"/>
  </r>
  <r>
    <x v="4"/>
    <x v="3"/>
    <s v="San José"/>
    <n v="39"/>
    <x v="0"/>
    <x v="0"/>
    <n v="24"/>
    <x v="2"/>
    <x v="10"/>
    <x v="1"/>
    <n v="1"/>
    <n v="0"/>
  </r>
  <r>
    <x v="6"/>
    <x v="5"/>
    <s v="Cartago"/>
    <n v="228"/>
    <x v="0"/>
    <x v="0"/>
    <n v="46"/>
    <x v="2"/>
    <x v="10"/>
    <x v="2"/>
    <n v="1"/>
    <n v="0"/>
  </r>
  <r>
    <x v="3"/>
    <x v="6"/>
    <s v="Limón"/>
    <n v="36"/>
    <x v="4"/>
    <x v="0"/>
    <n v="39"/>
    <x v="2"/>
    <x v="10"/>
    <x v="7"/>
    <n v="0"/>
    <n v="0"/>
  </r>
  <r>
    <x v="4"/>
    <x v="2"/>
    <s v="San Carlos"/>
    <n v="140"/>
    <x v="2"/>
    <x v="0"/>
    <n v="45"/>
    <x v="6"/>
    <x v="10"/>
    <x v="2"/>
    <n v="0"/>
    <n v="0"/>
  </r>
  <r>
    <x v="6"/>
    <x v="2"/>
    <s v="Zarcero"/>
    <s v="Cantonal o desconocida"/>
    <x v="2"/>
    <x v="0"/>
    <n v="22"/>
    <x v="0"/>
    <x v="10"/>
    <x v="1"/>
    <n v="0"/>
    <n v="0"/>
  </r>
  <r>
    <x v="0"/>
    <x v="0"/>
    <s v="Carrillo"/>
    <n v="21"/>
    <x v="0"/>
    <x v="0"/>
    <n v="33"/>
    <x v="4"/>
    <x v="10"/>
    <x v="3"/>
    <n v="0"/>
    <n v="0"/>
  </r>
  <r>
    <x v="8"/>
    <x v="2"/>
    <s v="Upala"/>
    <n v="4"/>
    <x v="5"/>
    <x v="0"/>
    <n v="46"/>
    <x v="1"/>
    <x v="10"/>
    <x v="2"/>
    <n v="0"/>
    <n v="0"/>
  </r>
  <r>
    <x v="2"/>
    <x v="2"/>
    <s v="Orotina"/>
    <n v="27"/>
    <x v="3"/>
    <x v="0"/>
    <n v="37"/>
    <x v="2"/>
    <x v="10"/>
    <x v="7"/>
    <n v="0"/>
    <n v="0"/>
  </r>
  <r>
    <x v="3"/>
    <x v="3"/>
    <s v="Pérez Zeledón"/>
    <n v="2"/>
    <x v="4"/>
    <x v="1"/>
    <n v="33"/>
    <x v="2"/>
    <x v="10"/>
    <x v="3"/>
    <n v="0"/>
    <n v="0"/>
  </r>
  <r>
    <x v="1"/>
    <x v="4"/>
    <s v="Heredia"/>
    <n v="3"/>
    <x v="0"/>
    <x v="0"/>
    <n v="22"/>
    <x v="2"/>
    <x v="10"/>
    <x v="1"/>
    <n v="1"/>
    <n v="0"/>
  </r>
  <r>
    <x v="6"/>
    <x v="1"/>
    <s v="Osa"/>
    <n v="2"/>
    <x v="0"/>
    <x v="0"/>
    <n v="55"/>
    <x v="6"/>
    <x v="10"/>
    <x v="8"/>
    <n v="1"/>
    <n v="0"/>
  </r>
  <r>
    <x v="6"/>
    <x v="1"/>
    <s v="Osa"/>
    <n v="2"/>
    <x v="5"/>
    <x v="1"/>
    <n v="52"/>
    <x v="6"/>
    <x v="10"/>
    <x v="12"/>
    <n v="0"/>
    <n v="0"/>
  </r>
  <r>
    <x v="0"/>
    <x v="1"/>
    <s v="Quepos"/>
    <n v="34"/>
    <x v="0"/>
    <x v="0"/>
    <n v="66"/>
    <x v="6"/>
    <x v="10"/>
    <x v="4"/>
    <n v="1"/>
    <n v="0"/>
  </r>
  <r>
    <x v="0"/>
    <x v="3"/>
    <s v="Pérez Zeledón"/>
    <n v="243"/>
    <x v="0"/>
    <x v="0"/>
    <n v="28"/>
    <x v="3"/>
    <x v="10"/>
    <x v="0"/>
    <n v="0"/>
    <n v="0"/>
  </r>
  <r>
    <x v="4"/>
    <x v="2"/>
    <s v="San Carlos"/>
    <n v="35"/>
    <x v="2"/>
    <x v="0"/>
    <n v="30"/>
    <x v="4"/>
    <x v="10"/>
    <x v="3"/>
    <n v="0"/>
    <n v="0"/>
  </r>
  <r>
    <x v="0"/>
    <x v="4"/>
    <s v="Sarapiquí"/>
    <n v="4"/>
    <x v="0"/>
    <x v="0"/>
    <n v="44"/>
    <x v="1"/>
    <x v="10"/>
    <x v="5"/>
    <n v="0"/>
    <n v="0"/>
  </r>
  <r>
    <x v="1"/>
    <x v="3"/>
    <s v="Puriscal"/>
    <n v="239"/>
    <x v="2"/>
    <x v="1"/>
    <n v="36"/>
    <x v="5"/>
    <x v="10"/>
    <x v="7"/>
    <n v="0"/>
    <n v="0"/>
  </r>
  <r>
    <x v="0"/>
    <x v="3"/>
    <s v="Puriscal"/>
    <n v="239"/>
    <x v="0"/>
    <x v="0"/>
    <n v="66"/>
    <x v="5"/>
    <x v="10"/>
    <x v="4"/>
    <n v="0"/>
    <n v="0"/>
  </r>
  <r>
    <x v="2"/>
    <x v="2"/>
    <s v="Orotina"/>
    <n v="34"/>
    <x v="3"/>
    <x v="0"/>
    <n v="24"/>
    <x v="5"/>
    <x v="10"/>
    <x v="1"/>
    <n v="0"/>
    <n v="0"/>
  </r>
  <r>
    <x v="0"/>
    <x v="6"/>
    <s v="Guácimo"/>
    <n v="32"/>
    <x v="0"/>
    <x v="0"/>
    <n v="51"/>
    <x v="2"/>
    <x v="10"/>
    <x v="12"/>
    <n v="1"/>
    <n v="0"/>
  </r>
  <r>
    <x v="1"/>
    <x v="1"/>
    <s v="Quepos"/>
    <n v="34"/>
    <x v="1"/>
    <x v="0"/>
    <n v="66"/>
    <x v="3"/>
    <x v="11"/>
    <x v="4"/>
    <n v="0"/>
    <n v="0"/>
  </r>
  <r>
    <x v="4"/>
    <x v="6"/>
    <s v="Pococí"/>
    <n v="249"/>
    <x v="0"/>
    <x v="0"/>
    <n v="19"/>
    <x v="4"/>
    <x v="11"/>
    <x v="6"/>
    <n v="0"/>
    <n v="1"/>
  </r>
  <r>
    <x v="0"/>
    <x v="3"/>
    <s v="San José"/>
    <n v="39"/>
    <x v="0"/>
    <x v="0"/>
    <n v="36"/>
    <x v="4"/>
    <x v="11"/>
    <x v="7"/>
    <n v="0"/>
    <n v="0"/>
  </r>
  <r>
    <x v="0"/>
    <x v="6"/>
    <s v="Siquirres"/>
    <n v="415"/>
    <x v="0"/>
    <x v="0"/>
    <n v="27"/>
    <x v="4"/>
    <x v="11"/>
    <x v="0"/>
    <n v="0"/>
    <n v="0"/>
  </r>
  <r>
    <x v="2"/>
    <x v="2"/>
    <s v="Naranjo"/>
    <n v="1"/>
    <x v="3"/>
    <x v="1"/>
    <n v="66"/>
    <x v="1"/>
    <x v="11"/>
    <x v="4"/>
    <n v="0"/>
    <n v="0"/>
  </r>
  <r>
    <x v="2"/>
    <x v="0"/>
    <s v="Nicoya"/>
    <n v="150"/>
    <x v="3"/>
    <x v="0"/>
    <n v="63"/>
    <x v="5"/>
    <x v="11"/>
    <x v="11"/>
    <n v="0"/>
    <n v="0"/>
  </r>
  <r>
    <x v="0"/>
    <x v="3"/>
    <s v="Vázquez de Coronado"/>
    <n v="102"/>
    <x v="0"/>
    <x v="0"/>
    <n v="31"/>
    <x v="2"/>
    <x v="11"/>
    <x v="3"/>
    <n v="1"/>
    <n v="0"/>
  </r>
  <r>
    <x v="1"/>
    <x v="0"/>
    <s v="Santa Cruz"/>
    <n v="910"/>
    <x v="5"/>
    <x v="1"/>
    <n v="36"/>
    <x v="2"/>
    <x v="11"/>
    <x v="7"/>
    <n v="0"/>
    <n v="0"/>
  </r>
  <r>
    <x v="4"/>
    <x v="6"/>
    <s v="Guácimo"/>
    <n v="32"/>
    <x v="2"/>
    <x v="0"/>
    <n v="54"/>
    <x v="2"/>
    <x v="11"/>
    <x v="12"/>
    <n v="0"/>
    <n v="0"/>
  </r>
  <r>
    <x v="0"/>
    <x v="2"/>
    <s v="Upala"/>
    <n v="6"/>
    <x v="0"/>
    <x v="0"/>
    <n v="34"/>
    <x v="2"/>
    <x v="11"/>
    <x v="3"/>
    <n v="1"/>
    <n v="0"/>
  </r>
  <r>
    <x v="0"/>
    <x v="6"/>
    <s v="Limón"/>
    <n v="32"/>
    <x v="0"/>
    <x v="0"/>
    <n v="38"/>
    <x v="6"/>
    <x v="11"/>
    <x v="7"/>
    <n v="1"/>
    <n v="0"/>
  </r>
  <r>
    <x v="0"/>
    <x v="3"/>
    <s v="Escazú"/>
    <n v="27"/>
    <x v="0"/>
    <x v="0"/>
    <s v="Desconocida"/>
    <x v="6"/>
    <x v="11"/>
    <x v="13"/>
    <n v="1"/>
    <n v="0"/>
  </r>
  <r>
    <x v="0"/>
    <x v="2"/>
    <s v="Alajuela"/>
    <s v="Cantonal o desconocida"/>
    <x v="4"/>
    <x v="0"/>
    <n v="40"/>
    <x v="6"/>
    <x v="11"/>
    <x v="5"/>
    <n v="0"/>
    <n v="0"/>
  </r>
  <r>
    <x v="1"/>
    <x v="2"/>
    <s v="San Carlos"/>
    <n v="140"/>
    <x v="0"/>
    <x v="0"/>
    <n v="31"/>
    <x v="6"/>
    <x v="11"/>
    <x v="3"/>
    <n v="1"/>
    <n v="0"/>
  </r>
  <r>
    <x v="0"/>
    <x v="4"/>
    <s v="Heredia"/>
    <n v="1"/>
    <x v="0"/>
    <x v="1"/>
    <n v="52"/>
    <x v="6"/>
    <x v="11"/>
    <x v="12"/>
    <n v="1"/>
    <n v="0"/>
  </r>
  <r>
    <x v="0"/>
    <x v="4"/>
    <s v="Heredia"/>
    <n v="1"/>
    <x v="1"/>
    <x v="1"/>
    <n v="42"/>
    <x v="6"/>
    <x v="11"/>
    <x v="5"/>
    <n v="0"/>
    <n v="0"/>
  </r>
  <r>
    <x v="1"/>
    <x v="1"/>
    <s v="Golfito"/>
    <n v="245"/>
    <x v="0"/>
    <x v="0"/>
    <n v="18"/>
    <x v="0"/>
    <x v="11"/>
    <x v="6"/>
    <n v="0"/>
    <n v="1"/>
  </r>
  <r>
    <x v="4"/>
    <x v="6"/>
    <s v="Talamanca"/>
    <n v="36"/>
    <x v="0"/>
    <x v="0"/>
    <n v="68"/>
    <x v="0"/>
    <x v="11"/>
    <x v="4"/>
    <n v="0"/>
    <n v="0"/>
  </r>
  <r>
    <x v="2"/>
    <x v="1"/>
    <s v="Puntarenas"/>
    <n v="17"/>
    <x v="3"/>
    <x v="0"/>
    <n v="48"/>
    <x v="0"/>
    <x v="11"/>
    <x v="2"/>
    <n v="0"/>
    <n v="0"/>
  </r>
  <r>
    <x v="0"/>
    <x v="2"/>
    <s v="Grecia"/>
    <n v="1"/>
    <x v="0"/>
    <x v="0"/>
    <n v="29"/>
    <x v="3"/>
    <x v="11"/>
    <x v="0"/>
    <n v="0"/>
    <n v="0"/>
  </r>
  <r>
    <x v="0"/>
    <x v="3"/>
    <s v="San José"/>
    <s v="Cantonal o desconocida"/>
    <x v="0"/>
    <x v="0"/>
    <n v="53"/>
    <x v="4"/>
    <x v="11"/>
    <x v="12"/>
    <n v="0"/>
    <n v="0"/>
  </r>
  <r>
    <x v="2"/>
    <x v="1"/>
    <s v="Buenos Aires"/>
    <n v="2"/>
    <x v="3"/>
    <x v="0"/>
    <n v="81"/>
    <x v="1"/>
    <x v="11"/>
    <x v="9"/>
    <n v="0"/>
    <n v="0"/>
  </r>
  <r>
    <x v="2"/>
    <x v="3"/>
    <s v="Santa Ana"/>
    <n v="27"/>
    <x v="3"/>
    <x v="0"/>
    <n v="47"/>
    <x v="1"/>
    <x v="11"/>
    <x v="2"/>
    <n v="0"/>
    <n v="0"/>
  </r>
  <r>
    <x v="5"/>
    <x v="1"/>
    <s v="Garabito"/>
    <n v="34"/>
    <x v="1"/>
    <x v="1"/>
    <n v="28"/>
    <x v="5"/>
    <x v="11"/>
    <x v="0"/>
    <n v="0"/>
    <n v="0"/>
  </r>
  <r>
    <x v="2"/>
    <x v="2"/>
    <s v="Alajuela"/>
    <s v="Cantonal o desconocida"/>
    <x v="3"/>
    <x v="0"/>
    <n v="71"/>
    <x v="5"/>
    <x v="11"/>
    <x v="15"/>
    <n v="0"/>
    <n v="0"/>
  </r>
  <r>
    <x v="5"/>
    <x v="3"/>
    <s v="Vázquez de Coronado"/>
    <n v="32"/>
    <x v="2"/>
    <x v="0"/>
    <n v="56"/>
    <x v="5"/>
    <x v="11"/>
    <x v="8"/>
    <n v="0"/>
    <n v="0"/>
  </r>
  <r>
    <x v="0"/>
    <x v="3"/>
    <s v="Curridabat"/>
    <s v="Cantonal o desconocida"/>
    <x v="2"/>
    <x v="0"/>
    <n v="25"/>
    <x v="5"/>
    <x v="11"/>
    <x v="0"/>
    <n v="0"/>
    <n v="0"/>
  </r>
  <r>
    <x v="0"/>
    <x v="3"/>
    <s v="Santa Ana"/>
    <s v="Cantonal o desconocida"/>
    <x v="5"/>
    <x v="1"/>
    <n v="20"/>
    <x v="5"/>
    <x v="11"/>
    <x v="1"/>
    <n v="0"/>
    <n v="0"/>
  </r>
  <r>
    <x v="0"/>
    <x v="1"/>
    <s v="Quepos"/>
    <n v="34"/>
    <x v="0"/>
    <x v="0"/>
    <s v="Desconocida"/>
    <x v="2"/>
    <x v="11"/>
    <x v="13"/>
    <n v="1"/>
    <n v="0"/>
  </r>
  <r>
    <x v="1"/>
    <x v="2"/>
    <s v="San Mateo"/>
    <s v="Cantonal o desconocida"/>
    <x v="2"/>
    <x v="0"/>
    <n v="70"/>
    <x v="2"/>
    <x v="11"/>
    <x v="15"/>
    <n v="0"/>
    <n v="0"/>
  </r>
  <r>
    <x v="0"/>
    <x v="1"/>
    <s v="Parrita"/>
    <n v="34"/>
    <x v="0"/>
    <x v="0"/>
    <n v="60"/>
    <x v="6"/>
    <x v="11"/>
    <x v="11"/>
    <n v="1"/>
    <n v="0"/>
  </r>
  <r>
    <x v="2"/>
    <x v="1"/>
    <s v="Esparza"/>
    <n v="1"/>
    <x v="3"/>
    <x v="0"/>
    <n v="61"/>
    <x v="6"/>
    <x v="11"/>
    <x v="11"/>
    <n v="0"/>
    <n v="0"/>
  </r>
  <r>
    <x v="0"/>
    <x v="6"/>
    <s v="Limón"/>
    <n v="32"/>
    <x v="0"/>
    <x v="0"/>
    <n v="19"/>
    <x v="6"/>
    <x v="11"/>
    <x v="6"/>
    <n v="1"/>
    <n v="1"/>
  </r>
  <r>
    <x v="0"/>
    <x v="2"/>
    <s v="Alajuela"/>
    <n v="1"/>
    <x v="0"/>
    <x v="0"/>
    <n v="34"/>
    <x v="0"/>
    <x v="11"/>
    <x v="3"/>
    <n v="0"/>
    <n v="0"/>
  </r>
  <r>
    <x v="0"/>
    <x v="2"/>
    <s v="San Carlos"/>
    <n v="250"/>
    <x v="0"/>
    <x v="0"/>
    <n v="43"/>
    <x v="0"/>
    <x v="11"/>
    <x v="5"/>
    <n v="0"/>
    <n v="0"/>
  </r>
  <r>
    <x v="1"/>
    <x v="1"/>
    <s v="Golfito"/>
    <s v="Cantonal o desconocida"/>
    <x v="2"/>
    <x v="0"/>
    <n v="43"/>
    <x v="3"/>
    <x v="11"/>
    <x v="5"/>
    <n v="0"/>
    <n v="0"/>
  </r>
  <r>
    <x v="0"/>
    <x v="2"/>
    <s v="San Carlos"/>
    <n v="4"/>
    <x v="0"/>
    <x v="0"/>
    <n v="55"/>
    <x v="4"/>
    <x v="11"/>
    <x v="8"/>
    <n v="0"/>
    <n v="0"/>
  </r>
  <r>
    <x v="0"/>
    <x v="2"/>
    <s v="Alajuela"/>
    <n v="153"/>
    <x v="0"/>
    <x v="0"/>
    <n v="62"/>
    <x v="4"/>
    <x v="11"/>
    <x v="11"/>
    <n v="0"/>
    <n v="0"/>
  </r>
  <r>
    <x v="4"/>
    <x v="0"/>
    <s v="Nicoya"/>
    <s v="Cantonal o desconocida"/>
    <x v="2"/>
    <x v="0"/>
    <n v="60"/>
    <x v="4"/>
    <x v="11"/>
    <x v="11"/>
    <n v="0"/>
    <n v="0"/>
  </r>
  <r>
    <x v="0"/>
    <x v="6"/>
    <s v="Limón"/>
    <n v="234"/>
    <x v="0"/>
    <x v="0"/>
    <n v="22"/>
    <x v="4"/>
    <x v="11"/>
    <x v="1"/>
    <n v="0"/>
    <n v="0"/>
  </r>
  <r>
    <x v="6"/>
    <x v="3"/>
    <s v="Acosta"/>
    <s v="Cantonal o desconocida"/>
    <x v="0"/>
    <x v="1"/>
    <n v="25"/>
    <x v="4"/>
    <x v="11"/>
    <x v="0"/>
    <n v="0"/>
    <n v="0"/>
  </r>
  <r>
    <x v="0"/>
    <x v="3"/>
    <s v="Pérez Zeledón"/>
    <n v="2"/>
    <x v="0"/>
    <x v="0"/>
    <n v="34"/>
    <x v="1"/>
    <x v="11"/>
    <x v="3"/>
    <n v="0"/>
    <n v="0"/>
  </r>
  <r>
    <x v="1"/>
    <x v="1"/>
    <s v="Golfito"/>
    <n v="245"/>
    <x v="0"/>
    <x v="0"/>
    <n v="31"/>
    <x v="5"/>
    <x v="11"/>
    <x v="3"/>
    <n v="0"/>
    <n v="0"/>
  </r>
  <r>
    <x v="0"/>
    <x v="3"/>
    <s v="Curridabat"/>
    <s v="Cantonal o desconocida"/>
    <x v="0"/>
    <x v="0"/>
    <n v="26"/>
    <x v="2"/>
    <x v="11"/>
    <x v="0"/>
    <n v="1"/>
    <n v="0"/>
  </r>
  <r>
    <x v="2"/>
    <x v="6"/>
    <s v="Matina"/>
    <s v="Cantonal o desconocida"/>
    <x v="5"/>
    <x v="1"/>
    <n v="19"/>
    <x v="2"/>
    <x v="11"/>
    <x v="6"/>
    <n v="0"/>
    <n v="0"/>
  </r>
  <r>
    <x v="0"/>
    <x v="1"/>
    <s v="Osa"/>
    <n v="34"/>
    <x v="0"/>
    <x v="1"/>
    <n v="35"/>
    <x v="2"/>
    <x v="11"/>
    <x v="7"/>
    <n v="1"/>
    <n v="0"/>
  </r>
  <r>
    <x v="0"/>
    <x v="1"/>
    <s v="Corredores"/>
    <n v="2"/>
    <x v="2"/>
    <x v="0"/>
    <n v="61"/>
    <x v="6"/>
    <x v="11"/>
    <x v="11"/>
    <n v="0"/>
    <n v="0"/>
  </r>
  <r>
    <x v="4"/>
    <x v="1"/>
    <s v="Montes de Oro"/>
    <s v="Cantonal o desconocida"/>
    <x v="1"/>
    <x v="1"/>
    <n v="70"/>
    <x v="6"/>
    <x v="11"/>
    <x v="15"/>
    <n v="0"/>
    <n v="0"/>
  </r>
  <r>
    <x v="4"/>
    <x v="1"/>
    <s v="Esparza"/>
    <s v="Cantonal o desconocida"/>
    <x v="0"/>
    <x v="0"/>
    <n v="25"/>
    <x v="6"/>
    <x v="11"/>
    <x v="0"/>
    <n v="1"/>
    <n v="0"/>
  </r>
  <r>
    <x v="4"/>
    <x v="1"/>
    <s v="Esparza"/>
    <s v="Cantonal o desconocida"/>
    <x v="0"/>
    <x v="0"/>
    <n v="31"/>
    <x v="0"/>
    <x v="11"/>
    <x v="3"/>
    <n v="0"/>
    <n v="0"/>
  </r>
  <r>
    <x v="1"/>
    <x v="1"/>
    <s v="Esparza"/>
    <n v="1"/>
    <x v="5"/>
    <x v="1"/>
    <n v="26"/>
    <x v="0"/>
    <x v="11"/>
    <x v="0"/>
    <n v="0"/>
    <n v="0"/>
  </r>
  <r>
    <x v="2"/>
    <x v="5"/>
    <s v="Turrialba"/>
    <n v="414"/>
    <x v="3"/>
    <x v="0"/>
    <n v="6"/>
    <x v="0"/>
    <x v="11"/>
    <x v="14"/>
    <n v="0"/>
    <n v="0"/>
  </r>
  <r>
    <x v="0"/>
    <x v="0"/>
    <s v="Nicoya"/>
    <n v="150"/>
    <x v="5"/>
    <x v="0"/>
    <n v="22"/>
    <x v="4"/>
    <x v="11"/>
    <x v="1"/>
    <n v="0"/>
    <n v="0"/>
  </r>
  <r>
    <x v="2"/>
    <x v="3"/>
    <s v="Moravia"/>
    <n v="109"/>
    <x v="3"/>
    <x v="0"/>
    <n v="62"/>
    <x v="5"/>
    <x v="11"/>
    <x v="11"/>
    <n v="0"/>
    <n v="0"/>
  </r>
  <r>
    <x v="0"/>
    <x v="2"/>
    <s v="Naranjo"/>
    <n v="1"/>
    <x v="0"/>
    <x v="0"/>
    <n v="26"/>
    <x v="5"/>
    <x v="11"/>
    <x v="0"/>
    <n v="0"/>
    <n v="0"/>
  </r>
  <r>
    <x v="0"/>
    <x v="5"/>
    <s v="Cartago"/>
    <n v="10"/>
    <x v="3"/>
    <x v="0"/>
    <n v="46"/>
    <x v="5"/>
    <x v="11"/>
    <x v="2"/>
    <n v="0"/>
    <n v="0"/>
  </r>
  <r>
    <x v="2"/>
    <x v="1"/>
    <s v="Osa"/>
    <n v="2"/>
    <x v="3"/>
    <x v="0"/>
    <n v="45"/>
    <x v="2"/>
    <x v="11"/>
    <x v="2"/>
    <n v="0"/>
    <n v="0"/>
  </r>
  <r>
    <x v="0"/>
    <x v="2"/>
    <s v="San Ramón"/>
    <n v="1"/>
    <x v="2"/>
    <x v="1"/>
    <n v="20"/>
    <x v="6"/>
    <x v="11"/>
    <x v="1"/>
    <n v="0"/>
    <n v="0"/>
  </r>
  <r>
    <x v="3"/>
    <x v="2"/>
    <s v="Guatuso"/>
    <n v="4"/>
    <x v="4"/>
    <x v="0"/>
    <n v="49"/>
    <x v="0"/>
    <x v="11"/>
    <x v="2"/>
    <n v="0"/>
    <n v="0"/>
  </r>
  <r>
    <x v="2"/>
    <x v="1"/>
    <s v="Osa"/>
    <n v="2"/>
    <x v="3"/>
    <x v="0"/>
    <n v="45"/>
    <x v="2"/>
    <x v="11"/>
    <x v="2"/>
    <n v="0"/>
    <n v="0"/>
  </r>
  <r>
    <x v="2"/>
    <x v="1"/>
    <s v="Osa"/>
    <n v="2"/>
    <x v="3"/>
    <x v="0"/>
    <n v="27"/>
    <x v="0"/>
    <x v="11"/>
    <x v="0"/>
    <n v="0"/>
    <n v="0"/>
  </r>
  <r>
    <x v="1"/>
    <x v="2"/>
    <s v="Grecia"/>
    <n v="154"/>
    <x v="5"/>
    <x v="1"/>
    <n v="21"/>
    <x v="0"/>
    <x v="11"/>
    <x v="1"/>
    <n v="0"/>
    <n v="0"/>
  </r>
  <r>
    <x v="1"/>
    <x v="1"/>
    <s v="Parrita"/>
    <n v="34"/>
    <x v="0"/>
    <x v="0"/>
    <n v="28"/>
    <x v="3"/>
    <x v="11"/>
    <x v="0"/>
    <n v="0"/>
    <n v="0"/>
  </r>
  <r>
    <x v="0"/>
    <x v="2"/>
    <s v="Atenas"/>
    <n v="3"/>
    <x v="0"/>
    <x v="0"/>
    <s v="Desconocida"/>
    <x v="3"/>
    <x v="11"/>
    <x v="13"/>
    <n v="0"/>
    <n v="0"/>
  </r>
  <r>
    <x v="0"/>
    <x v="6"/>
    <s v="Siquirres"/>
    <n v="32"/>
    <x v="0"/>
    <x v="1"/>
    <n v="28"/>
    <x v="3"/>
    <x v="11"/>
    <x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F230C6-0024-49C4-8211-AFF4C2E6C0E2}" name="PivotTable8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9">
  <location ref="L22:M39" firstHeaderRow="1" firstDataRow="1" firstDataCol="1"/>
  <pivotFields count="1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7">
        <item x="14"/>
        <item x="10"/>
        <item x="6"/>
        <item x="1"/>
        <item x="0"/>
        <item x="3"/>
        <item x="7"/>
        <item x="5"/>
        <item x="2"/>
        <item x="12"/>
        <item x="8"/>
        <item x="11"/>
        <item x="4"/>
        <item x="15"/>
        <item x="9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9"/>
  </rowFields>
  <rowItems count="17">
    <i>
      <x v="4"/>
    </i>
    <i>
      <x v="3"/>
    </i>
    <i>
      <x v="5"/>
    </i>
    <i>
      <x v="6"/>
    </i>
    <i>
      <x v="7"/>
    </i>
    <i>
      <x v="8"/>
    </i>
    <i>
      <x v="15"/>
    </i>
    <i>
      <x v="2"/>
    </i>
    <i>
      <x v="11"/>
    </i>
    <i>
      <x v="10"/>
    </i>
    <i>
      <x v="9"/>
    </i>
    <i>
      <x v="12"/>
    </i>
    <i>
      <x v="14"/>
    </i>
    <i>
      <x v="13"/>
    </i>
    <i>
      <x v="1"/>
    </i>
    <i>
      <x/>
    </i>
    <i t="grand">
      <x/>
    </i>
  </rowItems>
  <colItems count="1">
    <i/>
  </colItems>
  <dataFields count="1">
    <dataField name="Count of Tipo de accidente" fld="0" subtotal="count" baseField="0" baseItem="0"/>
  </dataFields>
  <chartFormats count="1"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32605-A328-4676-94C3-8626A5FAF7ED}" name="PivotTable6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L9:M17" firstHeaderRow="1" firstDataRow="1" firstDataCol="1"/>
  <pivotFields count="12">
    <pivotField dataField="1" showAll="0"/>
    <pivotField axis="axisRow" showAll="0" sortType="descending">
      <items count="8">
        <item x="2"/>
        <item x="5"/>
        <item x="0"/>
        <item x="4"/>
        <item x="6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 v="5"/>
    </i>
    <i>
      <x/>
    </i>
    <i>
      <x v="6"/>
    </i>
    <i>
      <x v="2"/>
    </i>
    <i>
      <x v="4"/>
    </i>
    <i>
      <x v="3"/>
    </i>
    <i>
      <x v="1"/>
    </i>
    <i t="grand">
      <x/>
    </i>
  </rowItems>
  <colItems count="1">
    <i/>
  </colItems>
  <dataFields count="1">
    <dataField name="Count of Tipo de accidente" fld="0" subtotal="count" showDataAs="percentOfTotal" baseField="0" baseItem="0" numFmtId="10"/>
  </dataField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4A6278-477D-4F69-A97D-FD67BD51D536}" name="TablaDinámica1" cacheId="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2:G33" firstHeaderRow="1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Suma de M.M.menores" fld="11" baseField="0" baseItem="0"/>
  </dataFields>
  <formats count="2">
    <format dxfId="27">
      <pivotArea outline="0" collapsedLevelsAreSubtotals="1" fieldPosition="0"/>
    </format>
    <format dxfId="28">
      <pivotArea outline="0" collapsedLevelsAreSubtotals="1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43BD-0017-487A-820C-45777E5B3510}" name="PivotTable1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Tipo de Accidente">
  <location ref="E42:F52" firstHeaderRow="1" firstDataRow="1" firstDataCol="1"/>
  <pivotFields count="12">
    <pivotField axis="axisRow" dataField="1" showAll="0" sortType="descending">
      <items count="10">
        <item x="2"/>
        <item x="6"/>
        <item x="3"/>
        <item x="4"/>
        <item x="8"/>
        <item x="0"/>
        <item x="7"/>
        <item x="1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0">
    <i>
      <x v="5"/>
    </i>
    <i>
      <x v="7"/>
    </i>
    <i>
      <x/>
    </i>
    <i>
      <x v="2"/>
    </i>
    <i>
      <x v="3"/>
    </i>
    <i>
      <x v="1"/>
    </i>
    <i>
      <x v="8"/>
    </i>
    <i>
      <x v="4"/>
    </i>
    <i>
      <x v="6"/>
    </i>
    <i t="grand">
      <x/>
    </i>
  </rowItems>
  <colItems count="1">
    <i/>
  </colItems>
  <dataFields count="1">
    <dataField name="Cantidad" fld="0" subtotal="count" baseField="0" baseItem="0"/>
  </dataFields>
  <chartFormats count="10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7061BC-3EB2-4717-9389-45A86FAD1C5B}" name="Día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as">
  <location ref="B32:C40" firstHeaderRow="1" firstDataRow="1" firstDataCol="1"/>
  <pivotFields count="12">
    <pivotField dataField="1"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8">
        <item x="0"/>
        <item x="3"/>
        <item x="4"/>
        <item x="1"/>
        <item x="5"/>
        <item x="2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7"/>
  </rowFields>
  <rowItems count="8">
    <i>
      <x v="5"/>
    </i>
    <i>
      <x v="6"/>
    </i>
    <i>
      <x v="4"/>
    </i>
    <i>
      <x v="3"/>
    </i>
    <i>
      <x v="1"/>
    </i>
    <i>
      <x v="2"/>
    </i>
    <i>
      <x/>
    </i>
    <i t="grand">
      <x/>
    </i>
  </rowItems>
  <colItems count="1">
    <i/>
  </colItems>
  <dataFields count="1">
    <dataField name="Count of Tipo de accidente" fld="0" subtotal="count" baseField="0" baseItem="0"/>
  </dataFields>
  <formats count="5">
    <format dxfId="22">
      <pivotArea type="all" dataOnly="0" outline="0" fieldPosition="0"/>
    </format>
    <format dxfId="23">
      <pivotArea outline="0" collapsedLevelsAreSubtotals="1" fieldPosition="0"/>
    </format>
    <format dxfId="24">
      <pivotArea type="origin" dataOnly="0" labelOnly="1" outline="0" fieldPosition="0"/>
    </format>
    <format dxfId="25">
      <pivotArea dataOnly="0" labelOnly="1" outline="0" axis="axisValues" fieldPosition="0"/>
    </format>
    <format dxfId="26">
      <pivotArea type="topRight" dataOnly="0" labelOnly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563AFD-A240-4F9A-832A-A1F1EA9183FD}" name="Provincias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3" rowHeaderCaption="Filtro" colHeaderCaption="Columnas">
  <location ref="B9:J20" firstHeaderRow="1" firstDataRow="2" firstDataCol="1"/>
  <pivotFields count="12">
    <pivotField dataField="1" showAll="0"/>
    <pivotField axis="axisCol" showAll="0" sortType="descending">
      <items count="8">
        <item x="2"/>
        <item x="5"/>
        <item x="0"/>
        <item x="4"/>
        <item x="6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descending">
      <items count="11">
        <item x="4"/>
        <item x="2"/>
        <item x="0"/>
        <item x="8"/>
        <item x="7"/>
        <item x="6"/>
        <item x="1"/>
        <item x="5"/>
        <item m="1" x="9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2"/>
    </i>
    <i>
      <x v="1"/>
    </i>
    <i>
      <x v="9"/>
    </i>
    <i>
      <x/>
    </i>
    <i>
      <x v="6"/>
    </i>
    <i>
      <x v="7"/>
    </i>
    <i>
      <x v="5"/>
    </i>
    <i>
      <x v="3"/>
    </i>
    <i>
      <x v="4"/>
    </i>
    <i t="grand">
      <x/>
    </i>
  </rowItems>
  <colFields count="1">
    <field x="1"/>
  </colFields>
  <colItems count="8">
    <i>
      <x v="5"/>
    </i>
    <i>
      <x/>
    </i>
    <i>
      <x v="6"/>
    </i>
    <i>
      <x v="2"/>
    </i>
    <i>
      <x v="4"/>
    </i>
    <i>
      <x v="3"/>
    </i>
    <i>
      <x v="1"/>
    </i>
    <i t="grand">
      <x/>
    </i>
  </colItems>
  <dataFields count="1">
    <dataField name=" Tipo de accidente" fld="0" subtotal="count" baseField="1" baseItem="0"/>
  </dataFields>
  <formats count="2">
    <format dxfId="8">
      <pivotArea type="all" dataOnly="0" outline="0" fieldPosition="0"/>
    </format>
    <format dxfId="9">
      <pivotArea type="all" dataOnly="0" outline="0" fieldPosition="0"/>
    </format>
  </formats>
  <chartFormats count="7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8C3E0-5583-4EC7-B6A4-D96AE524151E}" name="Sexo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B24:F26" firstHeaderRow="1" firstDataRow="2" firstDataCol="1"/>
  <pivotFields count="12">
    <pivotField showAll="0"/>
    <pivotField dataField="1" showAll="0"/>
    <pivotField showAll="0"/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Count of Provincia" fld="1" subtotal="count" baseField="0" baseItem="0"/>
  </dataFields>
  <formats count="12">
    <format dxfId="10">
      <pivotArea type="all" dataOnly="0" outline="0" fieldPosition="0"/>
    </format>
    <format dxfId="11">
      <pivotArea outline="0" collapsedLevelsAreSubtotals="1" fieldPosition="0"/>
    </format>
    <format dxfId="12">
      <pivotArea type="origin" dataOnly="0" labelOnly="1" outline="0" fieldPosition="0"/>
    </format>
    <format dxfId="13">
      <pivotArea dataOnly="0" labelOnly="1" outline="0" axis="axisValues" fieldPosition="0"/>
    </format>
    <format dxfId="14">
      <pivotArea field="5" type="button" dataOnly="0" labelOnly="1" outline="0" axis="axisCol" fieldPosition="0"/>
    </format>
    <format dxfId="15">
      <pivotArea type="topRight" dataOnly="0" labelOnly="1" outline="0" fieldPosition="0"/>
    </format>
    <format dxfId="16">
      <pivotArea type="all" dataOnly="0" outline="0" fieldPosition="0"/>
    </format>
    <format dxfId="17">
      <pivotArea outline="0" collapsedLevelsAreSubtotals="1" fieldPosition="0"/>
    </format>
    <format dxfId="18">
      <pivotArea type="origin" dataOnly="0" labelOnly="1" outline="0" fieldPosition="0"/>
    </format>
    <format dxfId="19">
      <pivotArea dataOnly="0" labelOnly="1" outline="0" axis="axisValues" fieldPosition="0"/>
    </format>
    <format dxfId="20">
      <pivotArea field="5" type="button" dataOnly="0" labelOnly="1" outline="0" axis="axisCol" fieldPosition="0"/>
    </format>
    <format dxfId="21">
      <pivotArea type="topRight" dataOnly="0" labelOnly="1" outline="0" fieldPosition="0"/>
    </format>
  </format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4AE6FC-D927-4858-B126-66900D92927C}" name="PivotTable10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Meses">
  <location ref="B42:C55" firstHeaderRow="1" firstDataRow="1" firstDataCol="1"/>
  <pivotFields count="12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">
        <item x="8"/>
        <item x="11"/>
        <item x="10"/>
        <item x="9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8"/>
  </rowFields>
  <rowItems count="13">
    <i>
      <x v="1"/>
    </i>
    <i>
      <x/>
    </i>
    <i>
      <x v="2"/>
    </i>
    <i>
      <x v="7"/>
    </i>
    <i>
      <x v="3"/>
    </i>
    <i>
      <x v="11"/>
    </i>
    <i>
      <x v="9"/>
    </i>
    <i>
      <x v="8"/>
    </i>
    <i>
      <x v="10"/>
    </i>
    <i>
      <x v="4"/>
    </i>
    <i>
      <x v="5"/>
    </i>
    <i>
      <x v="6"/>
    </i>
    <i t="grand">
      <x/>
    </i>
  </rowItems>
  <colItems count="1">
    <i/>
  </colItems>
  <dataFields count="1">
    <dataField name="Cantidad" fld="0" subtotal="count" baseField="8" baseItem="1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1F92D99-F957-43B9-A5FB-F1497C67038E}" autoFormatId="16" applyNumberFormats="0" applyBorderFormats="0" applyFontFormats="0" applyPatternFormats="0" applyAlignmentFormats="0" applyWidthHeightFormats="0">
  <queryTableRefresh nextId="13">
    <queryTableFields count="12">
      <queryTableField id="1" name="Tipo de accidente" tableColumnId="13"/>
      <queryTableField id="2" name="Provincia" tableColumnId="2"/>
      <queryTableField id="3" name="Canton" tableColumnId="3"/>
      <queryTableField id="4" name="Ruta" tableColumnId="4"/>
      <queryTableField id="5" name="Rol persona" tableColumnId="5"/>
      <queryTableField id="6" name="Sexo" tableColumnId="6"/>
      <queryTableField id="7" name="Edad" tableColumnId="7"/>
      <queryTableField id="8" name="Dia" tableColumnId="8"/>
      <queryTableField id="9" name="Mes" tableColumnId="9"/>
      <queryTableField id="10" name="Edad quinquenal" tableColumnId="10"/>
      <queryTableField id="11" name="M.M.S-D" tableColumnId="11"/>
      <queryTableField id="12" name="M.M.menore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48A56E-B5B1-480D-9DA9-488BC850E2B0}" name="API_Cosevi" displayName="API_Cosevi" ref="A1:L507" totalsRowCount="1">
  <autoFilter ref="A1:L506" xr:uid="{2648A56E-B5B1-480D-9DA9-488BC850E2B0}"/>
  <tableColumns count="12">
    <tableColumn id="2" xr3:uid="{B8B62FD1-96BC-4D3C-A75A-2EF0F3CD20C3}" name="Tipo de accidente"/>
    <tableColumn id="3" xr3:uid="{BED13278-6508-4227-8EBA-BF72645EC201}" name="Provincia"/>
    <tableColumn id="4" xr3:uid="{EA7DDA61-1EB4-4D7A-9810-BF29B403B66C}" name="Canton"/>
    <tableColumn id="5" xr3:uid="{DFF70B6B-632C-4FAD-9B1B-FF36064C091C}" name="Ruta"/>
    <tableColumn id="6" xr3:uid="{23CD5C6D-5CFC-4A2E-A837-D542B5ADBDBD}" name="Rol persona"/>
    <tableColumn id="7" xr3:uid="{1582DCCC-FE9C-4A4F-950A-69D4B3B47F48}" name="Sexo"/>
    <tableColumn id="8" xr3:uid="{871BD15F-4642-44DD-8AA6-B3408E1E61D5}" name="Edad"/>
    <tableColumn id="10" xr3:uid="{233B2C1B-4E10-4203-83D7-792913B53412}" name="Dia"/>
    <tableColumn id="11" xr3:uid="{A6C3E5BF-01B3-4D8B-BDE8-C5CF069B63A2}" name="Mes"/>
    <tableColumn id="12" xr3:uid="{7A4C7C7A-9EB0-4FA9-8C50-DE6140D010F3}" name="Edad quinquenal" totalsRowFunction="count"/>
    <tableColumn id="14" xr3:uid="{ECF395CA-1183-4DCF-B338-AE9AA4B8AE21}" name="M.M.S-D" dataDxfId="39">
      <calculatedColumnFormula>IF(AND(API_Cosevi[[#This Row],[Rol persona]]="Motociclista", OR(API_Cosevi[[#This Row],[Dia]]="Domingo", API_Cosevi[[#This Row],[Dia]]="Sabado")), 1, 0)</calculatedColumnFormula>
    </tableColumn>
    <tableColumn id="15" xr3:uid="{1A849854-775D-4F27-9C7B-6B6C180F8AA2}" name="M.M.menores" dataDxfId="38">
      <calculatedColumnFormula>IF(AND(API_Cosevi[[#This Row],[Rol persona]]="Motociclista", OR(API_Cosevi[[#This Row],[Edad quinquenal]]="15 A 19", API_Cosevi[[#This Row],[Edad quinquenal]]="10 A 14")), 1, 0)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37A926-C157-4227-8273-F120C5B5405A}" name="API_Cosevi_2" displayName="API_Cosevi_2" ref="A1:L507" tableType="queryTable" totalsRowShown="0">
  <autoFilter ref="A1:L507" xr:uid="{EC37A926-C157-4227-8273-F120C5B5405A}"/>
  <tableColumns count="12">
    <tableColumn id="13" xr3:uid="{60DF5EA9-990A-4354-AC92-4C41C2B13017}" uniqueName="13" name="Tipo de accidente" queryTableFieldId="1" dataDxfId="7"/>
    <tableColumn id="2" xr3:uid="{3642A12F-3420-4B98-ACD8-41A0104E85D6}" uniqueName="2" name="Provincia" queryTableFieldId="2" dataDxfId="6"/>
    <tableColumn id="3" xr3:uid="{3EE7B1A1-2FA5-4998-94A4-54B070C8F8EC}" uniqueName="3" name="Canton" queryTableFieldId="3" dataDxfId="5"/>
    <tableColumn id="4" xr3:uid="{DB829819-3AB4-43CF-8732-DDCBCFFE33E9}" uniqueName="4" name="Ruta" queryTableFieldId="4"/>
    <tableColumn id="5" xr3:uid="{362611D9-8ED0-42C2-A080-8C1782A99875}" uniqueName="5" name="Rol persona" queryTableFieldId="5" dataDxfId="4"/>
    <tableColumn id="6" xr3:uid="{078E1203-24B5-42BB-9E2B-33453477930A}" uniqueName="6" name="Sexo" queryTableFieldId="6" dataDxfId="3"/>
    <tableColumn id="7" xr3:uid="{715E1F0C-850F-4436-AAAA-96275976A4B7}" uniqueName="7" name="Edad" queryTableFieldId="7"/>
    <tableColumn id="8" xr3:uid="{55EEE1A7-E5BB-4162-9E5D-1B92435F6885}" uniqueName="8" name="Dia" queryTableFieldId="8" dataDxfId="2"/>
    <tableColumn id="9" xr3:uid="{EDFA3AEE-BEC4-411F-8C34-4F330EDEB0AA}" uniqueName="9" name="Mes" queryTableFieldId="9" dataDxfId="1"/>
    <tableColumn id="10" xr3:uid="{CC48FF4C-1561-4DE0-A3E8-599E5D821816}" uniqueName="10" name="Edad quinquenal" queryTableFieldId="10" dataDxfId="0"/>
    <tableColumn id="11" xr3:uid="{AB0DC393-C186-44F0-935D-CA94A76E838D}" uniqueName="11" name="M.M.S-D" queryTableFieldId="11"/>
    <tableColumn id="12" xr3:uid="{CFF3C19E-E72B-435D-9E7E-CD04341B92BF}" uniqueName="12" name="M.M.menores" queryTableFieldId="12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5" Type="http://schemas.openxmlformats.org/officeDocument/2006/relationships/pivotTable" Target="../pivotTables/pivotTable5.xml"/><Relationship Id="rId10" Type="http://schemas.openxmlformats.org/officeDocument/2006/relationships/vmlDrawing" Target="../drawings/vmlDrawing2.v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3521-0C22-4892-A237-B5CF40CFE9F1}">
  <sheetPr codeName="Hoja1"/>
  <dimension ref="A1:L507"/>
  <sheetViews>
    <sheetView topLeftCell="B1" workbookViewId="0">
      <selection activeCell="D358" sqref="D358"/>
    </sheetView>
  </sheetViews>
  <sheetFormatPr baseColWidth="10" defaultColWidth="8.88671875" defaultRowHeight="14.4" x14ac:dyDescent="0.3"/>
  <cols>
    <col min="1" max="1" width="23.5546875" bestFit="1" customWidth="1"/>
    <col min="2" max="2" width="10.6640625" customWidth="1"/>
    <col min="3" max="3" width="18.88671875" bestFit="1" customWidth="1"/>
    <col min="4" max="4" width="20.77734375" bestFit="1" customWidth="1"/>
    <col min="5" max="5" width="15.33203125" bestFit="1" customWidth="1"/>
    <col min="6" max="6" width="11.5546875" bestFit="1" customWidth="1"/>
    <col min="7" max="7" width="11.44140625" bestFit="1" customWidth="1"/>
    <col min="8" max="8" width="10.5546875" bestFit="1" customWidth="1"/>
    <col min="9" max="9" width="12" bestFit="1" customWidth="1"/>
    <col min="10" max="10" width="17.109375" customWidth="1"/>
    <col min="11" max="11" width="16.44140625" bestFit="1" customWidth="1"/>
    <col min="12" max="12" width="16.77734375" customWidth="1"/>
  </cols>
  <sheetData>
    <row r="1" spans="1:12" x14ac:dyDescent="0.3">
      <c r="A1" t="s">
        <v>0</v>
      </c>
      <c r="B1" t="s">
        <v>1</v>
      </c>
      <c r="C1" t="s">
        <v>131</v>
      </c>
      <c r="D1" t="s">
        <v>2</v>
      </c>
      <c r="E1" t="s">
        <v>3</v>
      </c>
      <c r="F1" t="s">
        <v>4</v>
      </c>
      <c r="G1" t="s">
        <v>5</v>
      </c>
      <c r="H1" t="s">
        <v>130</v>
      </c>
      <c r="I1" t="s">
        <v>6</v>
      </c>
      <c r="J1" t="s">
        <v>7</v>
      </c>
      <c r="K1" t="s">
        <v>165</v>
      </c>
      <c r="L1" t="s">
        <v>159</v>
      </c>
    </row>
    <row r="2" spans="1:12" x14ac:dyDescent="0.3">
      <c r="A2" t="s">
        <v>8</v>
      </c>
      <c r="B2" t="s">
        <v>9</v>
      </c>
      <c r="C2" t="s">
        <v>10</v>
      </c>
      <c r="D2">
        <v>152</v>
      </c>
      <c r="E2" t="s">
        <v>11</v>
      </c>
      <c r="F2" t="s">
        <v>12</v>
      </c>
      <c r="G2">
        <v>27</v>
      </c>
      <c r="H2" t="s">
        <v>137</v>
      </c>
      <c r="I2" t="s">
        <v>139</v>
      </c>
      <c r="J2" t="s">
        <v>13</v>
      </c>
      <c r="K2">
        <f>IF(AND(API_Cosevi[[#This Row],[Rol persona]]="Motociclista", OR(API_Cosevi[[#This Row],[Dia]]="Domingo", API_Cosevi[[#This Row],[Dia]]="Sabado")), 1, 0)</f>
        <v>0</v>
      </c>
      <c r="L2">
        <f>IF(AND(API_Cosevi[[#This Row],[Rol persona]]="Motociclista", OR(API_Cosevi[[#This Row],[Edad quinquenal]]="15 A 19", API_Cosevi[[#This Row],[Edad quinquenal]]="10 A 14")), 1, 0)</f>
        <v>0</v>
      </c>
    </row>
    <row r="3" spans="1:12" x14ac:dyDescent="0.3">
      <c r="A3" t="s">
        <v>8</v>
      </c>
      <c r="B3" t="s">
        <v>14</v>
      </c>
      <c r="C3" t="s">
        <v>15</v>
      </c>
      <c r="D3">
        <v>34</v>
      </c>
      <c r="E3" t="s">
        <v>16</v>
      </c>
      <c r="F3" t="s">
        <v>12</v>
      </c>
      <c r="G3">
        <v>23</v>
      </c>
      <c r="H3" t="s">
        <v>137</v>
      </c>
      <c r="I3" t="s">
        <v>139</v>
      </c>
      <c r="J3" t="s">
        <v>17</v>
      </c>
      <c r="K3">
        <f>IF(AND(API_Cosevi[[#This Row],[Rol persona]]="Motociclista", OR(API_Cosevi[[#This Row],[Dia]]="Domingo", API_Cosevi[[#This Row],[Dia]]="Sabado")), 1, 0)</f>
        <v>0</v>
      </c>
      <c r="L3">
        <f>IF(AND(API_Cosevi[[#This Row],[Rol persona]]="Motociclista", OR(API_Cosevi[[#This Row],[Edad quinquenal]]="15 A 19", API_Cosevi[[#This Row],[Edad quinquenal]]="10 A 14")), 1, 0)</f>
        <v>0</v>
      </c>
    </row>
    <row r="4" spans="1:12" x14ac:dyDescent="0.3">
      <c r="A4" t="s">
        <v>8</v>
      </c>
      <c r="B4" t="s">
        <v>14</v>
      </c>
      <c r="C4" t="s">
        <v>18</v>
      </c>
      <c r="D4">
        <v>2</v>
      </c>
      <c r="E4" t="s">
        <v>16</v>
      </c>
      <c r="F4" t="s">
        <v>12</v>
      </c>
      <c r="G4">
        <v>48</v>
      </c>
      <c r="H4" t="s">
        <v>134</v>
      </c>
      <c r="I4" t="s">
        <v>139</v>
      </c>
      <c r="J4" t="s">
        <v>19</v>
      </c>
      <c r="K4">
        <f>IF(AND(API_Cosevi[[#This Row],[Rol persona]]="Motociclista", OR(API_Cosevi[[#This Row],[Dia]]="Domingo", API_Cosevi[[#This Row],[Dia]]="Sabado")), 1, 0)</f>
        <v>0</v>
      </c>
      <c r="L4">
        <f>IF(AND(API_Cosevi[[#This Row],[Rol persona]]="Motociclista", OR(API_Cosevi[[#This Row],[Edad quinquenal]]="15 A 19", API_Cosevi[[#This Row],[Edad quinquenal]]="10 A 14")), 1, 0)</f>
        <v>0</v>
      </c>
    </row>
    <row r="5" spans="1:12" x14ac:dyDescent="0.3">
      <c r="A5" t="s">
        <v>8</v>
      </c>
      <c r="B5" t="s">
        <v>14</v>
      </c>
      <c r="C5" t="s">
        <v>18</v>
      </c>
      <c r="D5">
        <v>2</v>
      </c>
      <c r="E5" t="s">
        <v>16</v>
      </c>
      <c r="F5" t="s">
        <v>12</v>
      </c>
      <c r="G5">
        <v>46</v>
      </c>
      <c r="H5" t="s">
        <v>134</v>
      </c>
      <c r="I5" t="s">
        <v>139</v>
      </c>
      <c r="J5" t="s">
        <v>19</v>
      </c>
      <c r="K5">
        <f>IF(AND(API_Cosevi[[#This Row],[Rol persona]]="Motociclista", OR(API_Cosevi[[#This Row],[Dia]]="Domingo", API_Cosevi[[#This Row],[Dia]]="Sabado")), 1, 0)</f>
        <v>0</v>
      </c>
      <c r="L5">
        <f>IF(AND(API_Cosevi[[#This Row],[Rol persona]]="Motociclista", OR(API_Cosevi[[#This Row],[Edad quinquenal]]="15 A 19", API_Cosevi[[#This Row],[Edad quinquenal]]="10 A 14")), 1, 0)</f>
        <v>0</v>
      </c>
    </row>
    <row r="6" spans="1:12" x14ac:dyDescent="0.3">
      <c r="A6" t="s">
        <v>8</v>
      </c>
      <c r="B6" t="s">
        <v>9</v>
      </c>
      <c r="C6" t="s">
        <v>20</v>
      </c>
      <c r="D6">
        <v>21</v>
      </c>
      <c r="E6" t="s">
        <v>11</v>
      </c>
      <c r="F6" t="s">
        <v>12</v>
      </c>
      <c r="G6">
        <v>34</v>
      </c>
      <c r="H6" t="s">
        <v>132</v>
      </c>
      <c r="I6" t="s">
        <v>139</v>
      </c>
      <c r="J6" t="s">
        <v>21</v>
      </c>
      <c r="K6">
        <f>IF(AND(API_Cosevi[[#This Row],[Rol persona]]="Motociclista", OR(API_Cosevi[[#This Row],[Dia]]="Domingo", API_Cosevi[[#This Row],[Dia]]="Sabado")), 1, 0)</f>
        <v>1</v>
      </c>
      <c r="L6">
        <f>IF(AND(API_Cosevi[[#This Row],[Rol persona]]="Motociclista", OR(API_Cosevi[[#This Row],[Edad quinquenal]]="15 A 19", API_Cosevi[[#This Row],[Edad quinquenal]]="10 A 14")), 1, 0)</f>
        <v>0</v>
      </c>
    </row>
    <row r="7" spans="1:12" x14ac:dyDescent="0.3">
      <c r="A7" t="s">
        <v>22</v>
      </c>
      <c r="B7" t="s">
        <v>9</v>
      </c>
      <c r="C7" t="s">
        <v>23</v>
      </c>
      <c r="D7" t="s">
        <v>24</v>
      </c>
      <c r="E7" t="s">
        <v>25</v>
      </c>
      <c r="F7" t="s">
        <v>12</v>
      </c>
      <c r="G7">
        <v>26</v>
      </c>
      <c r="H7" t="s">
        <v>132</v>
      </c>
      <c r="I7" t="s">
        <v>139</v>
      </c>
      <c r="J7" t="s">
        <v>13</v>
      </c>
      <c r="K7">
        <f>IF(AND(API_Cosevi[[#This Row],[Rol persona]]="Motociclista", OR(API_Cosevi[[#This Row],[Dia]]="Domingo", API_Cosevi[[#This Row],[Dia]]="Sabado")), 1, 0)</f>
        <v>0</v>
      </c>
      <c r="L7">
        <f>IF(AND(API_Cosevi[[#This Row],[Rol persona]]="Motociclista", OR(API_Cosevi[[#This Row],[Edad quinquenal]]="15 A 19", API_Cosevi[[#This Row],[Edad quinquenal]]="10 A 14")), 1, 0)</f>
        <v>0</v>
      </c>
    </row>
    <row r="8" spans="1:12" x14ac:dyDescent="0.3">
      <c r="A8" t="s">
        <v>8</v>
      </c>
      <c r="B8" t="s">
        <v>9</v>
      </c>
      <c r="C8" t="s">
        <v>26</v>
      </c>
      <c r="D8">
        <v>1</v>
      </c>
      <c r="E8" t="s">
        <v>25</v>
      </c>
      <c r="F8" t="s">
        <v>12</v>
      </c>
      <c r="G8">
        <v>68</v>
      </c>
      <c r="H8" t="s">
        <v>137</v>
      </c>
      <c r="I8" t="s">
        <v>139</v>
      </c>
      <c r="J8" t="s">
        <v>27</v>
      </c>
      <c r="K8">
        <f>IF(AND(API_Cosevi[[#This Row],[Rol persona]]="Motociclista", OR(API_Cosevi[[#This Row],[Dia]]="Domingo", API_Cosevi[[#This Row],[Dia]]="Sabado")), 1, 0)</f>
        <v>0</v>
      </c>
      <c r="L8">
        <f>IF(AND(API_Cosevi[[#This Row],[Rol persona]]="Motociclista", OR(API_Cosevi[[#This Row],[Edad quinquenal]]="15 A 19", API_Cosevi[[#This Row],[Edad quinquenal]]="10 A 14")), 1, 0)</f>
        <v>0</v>
      </c>
    </row>
    <row r="9" spans="1:12" x14ac:dyDescent="0.3">
      <c r="A9" t="s">
        <v>8</v>
      </c>
      <c r="B9" t="s">
        <v>9</v>
      </c>
      <c r="C9" t="s">
        <v>26</v>
      </c>
      <c r="D9">
        <v>1</v>
      </c>
      <c r="E9" t="s">
        <v>16</v>
      </c>
      <c r="F9" t="s">
        <v>12</v>
      </c>
      <c r="G9">
        <v>40</v>
      </c>
      <c r="H9" t="s">
        <v>137</v>
      </c>
      <c r="I9" t="s">
        <v>139</v>
      </c>
      <c r="J9" t="s">
        <v>28</v>
      </c>
      <c r="K9">
        <f>IF(AND(API_Cosevi[[#This Row],[Rol persona]]="Motociclista", OR(API_Cosevi[[#This Row],[Dia]]="Domingo", API_Cosevi[[#This Row],[Dia]]="Sabado")), 1, 0)</f>
        <v>0</v>
      </c>
      <c r="L9">
        <f>IF(AND(API_Cosevi[[#This Row],[Rol persona]]="Motociclista", OR(API_Cosevi[[#This Row],[Edad quinquenal]]="15 A 19", API_Cosevi[[#This Row],[Edad quinquenal]]="10 A 14")), 1, 0)</f>
        <v>0</v>
      </c>
    </row>
    <row r="10" spans="1:12" x14ac:dyDescent="0.3">
      <c r="A10" t="s">
        <v>22</v>
      </c>
      <c r="B10" t="s">
        <v>29</v>
      </c>
      <c r="C10" t="s">
        <v>30</v>
      </c>
      <c r="D10" t="s">
        <v>24</v>
      </c>
      <c r="E10" t="s">
        <v>11</v>
      </c>
      <c r="F10" t="s">
        <v>12</v>
      </c>
      <c r="G10">
        <v>19</v>
      </c>
      <c r="H10" t="s">
        <v>136</v>
      </c>
      <c r="I10" t="s">
        <v>139</v>
      </c>
      <c r="J10" t="s">
        <v>31</v>
      </c>
      <c r="K10">
        <f>IF(AND(API_Cosevi[[#This Row],[Rol persona]]="Motociclista", OR(API_Cosevi[[#This Row],[Dia]]="Domingo", API_Cosevi[[#This Row],[Dia]]="Sabado")), 1, 0)</f>
        <v>0</v>
      </c>
      <c r="L10">
        <f>IF(AND(API_Cosevi[[#This Row],[Rol persona]]="Motociclista", OR(API_Cosevi[[#This Row],[Edad quinquenal]]="15 A 19", API_Cosevi[[#This Row],[Edad quinquenal]]="10 A 14")), 1, 0)</f>
        <v>1</v>
      </c>
    </row>
    <row r="11" spans="1:12" x14ac:dyDescent="0.3">
      <c r="A11" t="s">
        <v>8</v>
      </c>
      <c r="B11" t="s">
        <v>9</v>
      </c>
      <c r="C11" t="s">
        <v>23</v>
      </c>
      <c r="D11">
        <v>21</v>
      </c>
      <c r="E11" t="s">
        <v>11</v>
      </c>
      <c r="F11" t="s">
        <v>12</v>
      </c>
      <c r="G11">
        <v>38</v>
      </c>
      <c r="H11" t="s">
        <v>136</v>
      </c>
      <c r="I11" t="s">
        <v>139</v>
      </c>
      <c r="J11" t="s">
        <v>32</v>
      </c>
      <c r="K11">
        <f>IF(AND(API_Cosevi[[#This Row],[Rol persona]]="Motociclista", OR(API_Cosevi[[#This Row],[Dia]]="Domingo", API_Cosevi[[#This Row],[Dia]]="Sabado")), 1, 0)</f>
        <v>0</v>
      </c>
      <c r="L11">
        <f>IF(AND(API_Cosevi[[#This Row],[Rol persona]]="Motociclista", OR(API_Cosevi[[#This Row],[Edad quinquenal]]="15 A 19", API_Cosevi[[#This Row],[Edad quinquenal]]="10 A 14")), 1, 0)</f>
        <v>0</v>
      </c>
    </row>
    <row r="12" spans="1:12" x14ac:dyDescent="0.3">
      <c r="A12" t="s">
        <v>33</v>
      </c>
      <c r="B12" t="s">
        <v>34</v>
      </c>
      <c r="C12" t="s">
        <v>34</v>
      </c>
      <c r="D12" t="s">
        <v>24</v>
      </c>
      <c r="E12" t="s">
        <v>158</v>
      </c>
      <c r="F12" t="s">
        <v>35</v>
      </c>
      <c r="G12">
        <v>57</v>
      </c>
      <c r="H12" t="s">
        <v>134</v>
      </c>
      <c r="I12" t="s">
        <v>139</v>
      </c>
      <c r="J12" t="s">
        <v>36</v>
      </c>
      <c r="K12">
        <f>IF(AND(API_Cosevi[[#This Row],[Rol persona]]="Motociclista", OR(API_Cosevi[[#This Row],[Dia]]="Domingo", API_Cosevi[[#This Row],[Dia]]="Sabado")), 1, 0)</f>
        <v>0</v>
      </c>
      <c r="L12">
        <f>IF(AND(API_Cosevi[[#This Row],[Rol persona]]="Motociclista", OR(API_Cosevi[[#This Row],[Edad quinquenal]]="15 A 19", API_Cosevi[[#This Row],[Edad quinquenal]]="10 A 14")), 1, 0)</f>
        <v>0</v>
      </c>
    </row>
    <row r="13" spans="1:12" x14ac:dyDescent="0.3">
      <c r="A13" t="s">
        <v>8</v>
      </c>
      <c r="B13" t="s">
        <v>14</v>
      </c>
      <c r="C13" t="s">
        <v>18</v>
      </c>
      <c r="D13">
        <v>2</v>
      </c>
      <c r="E13" t="s">
        <v>25</v>
      </c>
      <c r="F13" t="s">
        <v>12</v>
      </c>
      <c r="G13">
        <v>38</v>
      </c>
      <c r="H13" t="s">
        <v>134</v>
      </c>
      <c r="I13" t="s">
        <v>139</v>
      </c>
      <c r="J13" t="s">
        <v>32</v>
      </c>
      <c r="K13">
        <f>IF(AND(API_Cosevi[[#This Row],[Rol persona]]="Motociclista", OR(API_Cosevi[[#This Row],[Dia]]="Domingo", API_Cosevi[[#This Row],[Dia]]="Sabado")), 1, 0)</f>
        <v>0</v>
      </c>
      <c r="L13">
        <f>IF(AND(API_Cosevi[[#This Row],[Rol persona]]="Motociclista", OR(API_Cosevi[[#This Row],[Edad quinquenal]]="15 A 19", API_Cosevi[[#This Row],[Edad quinquenal]]="10 A 14")), 1, 0)</f>
        <v>0</v>
      </c>
    </row>
    <row r="14" spans="1:12" x14ac:dyDescent="0.3">
      <c r="A14" t="s">
        <v>22</v>
      </c>
      <c r="B14" t="s">
        <v>29</v>
      </c>
      <c r="C14" t="s">
        <v>37</v>
      </c>
      <c r="D14">
        <v>141</v>
      </c>
      <c r="E14" t="s">
        <v>25</v>
      </c>
      <c r="F14" t="s">
        <v>12</v>
      </c>
      <c r="G14">
        <v>38</v>
      </c>
      <c r="H14" t="s">
        <v>132</v>
      </c>
      <c r="I14" t="s">
        <v>139</v>
      </c>
      <c r="J14" t="s">
        <v>32</v>
      </c>
      <c r="K14">
        <f>IF(AND(API_Cosevi[[#This Row],[Rol persona]]="Motociclista", OR(API_Cosevi[[#This Row],[Dia]]="Domingo", API_Cosevi[[#This Row],[Dia]]="Sabado")), 1, 0)</f>
        <v>0</v>
      </c>
      <c r="L14">
        <f>IF(AND(API_Cosevi[[#This Row],[Rol persona]]="Motociclista", OR(API_Cosevi[[#This Row],[Edad quinquenal]]="15 A 19", API_Cosevi[[#This Row],[Edad quinquenal]]="10 A 14")), 1, 0)</f>
        <v>0</v>
      </c>
    </row>
    <row r="15" spans="1:12" x14ac:dyDescent="0.3">
      <c r="A15" t="s">
        <v>38</v>
      </c>
      <c r="B15" t="s">
        <v>9</v>
      </c>
      <c r="C15" t="s">
        <v>10</v>
      </c>
      <c r="D15">
        <v>21</v>
      </c>
      <c r="E15" t="s">
        <v>39</v>
      </c>
      <c r="F15" t="s">
        <v>12</v>
      </c>
      <c r="G15">
        <v>56</v>
      </c>
      <c r="H15" t="s">
        <v>136</v>
      </c>
      <c r="I15" t="s">
        <v>139</v>
      </c>
      <c r="J15" t="s">
        <v>36</v>
      </c>
      <c r="K15">
        <f>IF(AND(API_Cosevi[[#This Row],[Rol persona]]="Motociclista", OR(API_Cosevi[[#This Row],[Dia]]="Domingo", API_Cosevi[[#This Row],[Dia]]="Sabado")), 1, 0)</f>
        <v>0</v>
      </c>
      <c r="L15">
        <f>IF(AND(API_Cosevi[[#This Row],[Rol persona]]="Motociclista", OR(API_Cosevi[[#This Row],[Edad quinquenal]]="15 A 19", API_Cosevi[[#This Row],[Edad quinquenal]]="10 A 14")), 1, 0)</f>
        <v>0</v>
      </c>
    </row>
    <row r="16" spans="1:12" x14ac:dyDescent="0.3">
      <c r="A16" t="s">
        <v>8</v>
      </c>
      <c r="B16" t="s">
        <v>34</v>
      </c>
      <c r="C16" t="s">
        <v>34</v>
      </c>
      <c r="D16">
        <v>39</v>
      </c>
      <c r="E16" t="s">
        <v>11</v>
      </c>
      <c r="F16" t="s">
        <v>12</v>
      </c>
      <c r="G16">
        <v>38</v>
      </c>
      <c r="H16" t="s">
        <v>136</v>
      </c>
      <c r="I16" t="s">
        <v>139</v>
      </c>
      <c r="J16" t="s">
        <v>32</v>
      </c>
      <c r="K16">
        <f>IF(AND(API_Cosevi[[#This Row],[Rol persona]]="Motociclista", OR(API_Cosevi[[#This Row],[Dia]]="Domingo", API_Cosevi[[#This Row],[Dia]]="Sabado")), 1, 0)</f>
        <v>0</v>
      </c>
      <c r="L16">
        <f>IF(AND(API_Cosevi[[#This Row],[Rol persona]]="Motociclista", OR(API_Cosevi[[#This Row],[Edad quinquenal]]="15 A 19", API_Cosevi[[#This Row],[Edad quinquenal]]="10 A 14")), 1, 0)</f>
        <v>0</v>
      </c>
    </row>
    <row r="17" spans="1:12" x14ac:dyDescent="0.3">
      <c r="A17" t="s">
        <v>22</v>
      </c>
      <c r="B17" t="s">
        <v>40</v>
      </c>
      <c r="C17" t="s">
        <v>40</v>
      </c>
      <c r="D17">
        <v>1</v>
      </c>
      <c r="E17" t="s">
        <v>11</v>
      </c>
      <c r="F17" t="s">
        <v>12</v>
      </c>
      <c r="G17">
        <v>22</v>
      </c>
      <c r="H17" t="s">
        <v>135</v>
      </c>
      <c r="I17" t="s">
        <v>139</v>
      </c>
      <c r="J17" t="s">
        <v>17</v>
      </c>
      <c r="K17">
        <f>IF(AND(API_Cosevi[[#This Row],[Rol persona]]="Motociclista", OR(API_Cosevi[[#This Row],[Dia]]="Domingo", API_Cosevi[[#This Row],[Dia]]="Sabado")), 1, 0)</f>
        <v>0</v>
      </c>
      <c r="L17">
        <f>IF(AND(API_Cosevi[[#This Row],[Rol persona]]="Motociclista", OR(API_Cosevi[[#This Row],[Edad quinquenal]]="15 A 19", API_Cosevi[[#This Row],[Edad quinquenal]]="10 A 14")), 1, 0)</f>
        <v>0</v>
      </c>
    </row>
    <row r="18" spans="1:12" x14ac:dyDescent="0.3">
      <c r="A18" t="s">
        <v>8</v>
      </c>
      <c r="B18" t="s">
        <v>14</v>
      </c>
      <c r="C18" t="s">
        <v>41</v>
      </c>
      <c r="D18">
        <v>34</v>
      </c>
      <c r="E18" t="s">
        <v>25</v>
      </c>
      <c r="F18" t="s">
        <v>12</v>
      </c>
      <c r="G18">
        <v>57</v>
      </c>
      <c r="H18" t="s">
        <v>134</v>
      </c>
      <c r="I18" t="s">
        <v>139</v>
      </c>
      <c r="J18" t="s">
        <v>36</v>
      </c>
      <c r="K18">
        <f>IF(AND(API_Cosevi[[#This Row],[Rol persona]]="Motociclista", OR(API_Cosevi[[#This Row],[Dia]]="Domingo", API_Cosevi[[#This Row],[Dia]]="Sabado")), 1, 0)</f>
        <v>0</v>
      </c>
      <c r="L18">
        <f>IF(AND(API_Cosevi[[#This Row],[Rol persona]]="Motociclista", OR(API_Cosevi[[#This Row],[Edad quinquenal]]="15 A 19", API_Cosevi[[#This Row],[Edad quinquenal]]="10 A 14")), 1, 0)</f>
        <v>0</v>
      </c>
    </row>
    <row r="19" spans="1:12" x14ac:dyDescent="0.3">
      <c r="A19" t="s">
        <v>8</v>
      </c>
      <c r="B19" t="s">
        <v>14</v>
      </c>
      <c r="C19" t="s">
        <v>41</v>
      </c>
      <c r="D19">
        <v>34</v>
      </c>
      <c r="E19" t="s">
        <v>16</v>
      </c>
      <c r="F19" t="s">
        <v>35</v>
      </c>
      <c r="G19">
        <v>76</v>
      </c>
      <c r="H19" t="s">
        <v>134</v>
      </c>
      <c r="I19" t="s">
        <v>139</v>
      </c>
      <c r="J19" t="s">
        <v>42</v>
      </c>
      <c r="K19">
        <f>IF(AND(API_Cosevi[[#This Row],[Rol persona]]="Motociclista", OR(API_Cosevi[[#This Row],[Dia]]="Domingo", API_Cosevi[[#This Row],[Dia]]="Sabado")), 1, 0)</f>
        <v>0</v>
      </c>
      <c r="L19">
        <f>IF(AND(API_Cosevi[[#This Row],[Rol persona]]="Motociclista", OR(API_Cosevi[[#This Row],[Edad quinquenal]]="15 A 19", API_Cosevi[[#This Row],[Edad quinquenal]]="10 A 14")), 1, 0)</f>
        <v>0</v>
      </c>
    </row>
    <row r="20" spans="1:12" x14ac:dyDescent="0.3">
      <c r="A20" t="s">
        <v>8</v>
      </c>
      <c r="B20" t="s">
        <v>14</v>
      </c>
      <c r="C20" t="s">
        <v>41</v>
      </c>
      <c r="D20">
        <v>34</v>
      </c>
      <c r="E20" t="s">
        <v>16</v>
      </c>
      <c r="F20" t="s">
        <v>35</v>
      </c>
      <c r="G20">
        <v>16</v>
      </c>
      <c r="H20" t="s">
        <v>134</v>
      </c>
      <c r="I20" t="s">
        <v>139</v>
      </c>
      <c r="J20" t="s">
        <v>31</v>
      </c>
      <c r="K20">
        <f>IF(AND(API_Cosevi[[#This Row],[Rol persona]]="Motociclista", OR(API_Cosevi[[#This Row],[Dia]]="Domingo", API_Cosevi[[#This Row],[Dia]]="Sabado")), 1, 0)</f>
        <v>0</v>
      </c>
      <c r="L20">
        <f>IF(AND(API_Cosevi[[#This Row],[Rol persona]]="Motociclista", OR(API_Cosevi[[#This Row],[Edad quinquenal]]="15 A 19", API_Cosevi[[#This Row],[Edad quinquenal]]="10 A 14")), 1, 0)</f>
        <v>0</v>
      </c>
    </row>
    <row r="21" spans="1:12" x14ac:dyDescent="0.3">
      <c r="A21" t="s">
        <v>8</v>
      </c>
      <c r="B21" t="s">
        <v>14</v>
      </c>
      <c r="C21" t="s">
        <v>41</v>
      </c>
      <c r="D21">
        <v>34</v>
      </c>
      <c r="E21" t="s">
        <v>16</v>
      </c>
      <c r="F21" t="s">
        <v>35</v>
      </c>
      <c r="G21">
        <v>11</v>
      </c>
      <c r="H21" t="s">
        <v>134</v>
      </c>
      <c r="I21" t="s">
        <v>139</v>
      </c>
      <c r="J21" t="s">
        <v>43</v>
      </c>
      <c r="K21">
        <f>IF(AND(API_Cosevi[[#This Row],[Rol persona]]="Motociclista", OR(API_Cosevi[[#This Row],[Dia]]="Domingo", API_Cosevi[[#This Row],[Dia]]="Sabado")), 1, 0)</f>
        <v>0</v>
      </c>
      <c r="L21">
        <f>IF(AND(API_Cosevi[[#This Row],[Rol persona]]="Motociclista", OR(API_Cosevi[[#This Row],[Edad quinquenal]]="15 A 19", API_Cosevi[[#This Row],[Edad quinquenal]]="10 A 14")), 1, 0)</f>
        <v>0</v>
      </c>
    </row>
    <row r="22" spans="1:12" x14ac:dyDescent="0.3">
      <c r="A22" t="s">
        <v>8</v>
      </c>
      <c r="B22" t="s">
        <v>34</v>
      </c>
      <c r="C22" t="s">
        <v>44</v>
      </c>
      <c r="D22" t="s">
        <v>24</v>
      </c>
      <c r="E22" t="s">
        <v>16</v>
      </c>
      <c r="F22" t="s">
        <v>35</v>
      </c>
      <c r="G22">
        <v>24</v>
      </c>
      <c r="H22" t="s">
        <v>134</v>
      </c>
      <c r="I22" t="s">
        <v>139</v>
      </c>
      <c r="J22" t="s">
        <v>17</v>
      </c>
      <c r="K22">
        <f>IF(AND(API_Cosevi[[#This Row],[Rol persona]]="Motociclista", OR(API_Cosevi[[#This Row],[Dia]]="Domingo", API_Cosevi[[#This Row],[Dia]]="Sabado")), 1, 0)</f>
        <v>0</v>
      </c>
      <c r="L22">
        <f>IF(AND(API_Cosevi[[#This Row],[Rol persona]]="Motociclista", OR(API_Cosevi[[#This Row],[Edad quinquenal]]="15 A 19", API_Cosevi[[#This Row],[Edad quinquenal]]="10 A 14")), 1, 0)</f>
        <v>0</v>
      </c>
    </row>
    <row r="23" spans="1:12" x14ac:dyDescent="0.3">
      <c r="A23" t="s">
        <v>8</v>
      </c>
      <c r="B23" t="s">
        <v>14</v>
      </c>
      <c r="C23" t="s">
        <v>15</v>
      </c>
      <c r="D23">
        <v>34</v>
      </c>
      <c r="E23" t="s">
        <v>11</v>
      </c>
      <c r="F23" t="s">
        <v>12</v>
      </c>
      <c r="G23">
        <v>32</v>
      </c>
      <c r="H23" t="s">
        <v>133</v>
      </c>
      <c r="I23" t="s">
        <v>139</v>
      </c>
      <c r="J23" t="s">
        <v>21</v>
      </c>
      <c r="K23">
        <f>IF(AND(API_Cosevi[[#This Row],[Rol persona]]="Motociclista", OR(API_Cosevi[[#This Row],[Dia]]="Domingo", API_Cosevi[[#This Row],[Dia]]="Sabado")), 1, 0)</f>
        <v>0</v>
      </c>
      <c r="L23">
        <f>IF(AND(API_Cosevi[[#This Row],[Rol persona]]="Motociclista", OR(API_Cosevi[[#This Row],[Edad quinquenal]]="15 A 19", API_Cosevi[[#This Row],[Edad quinquenal]]="10 A 14")), 1, 0)</f>
        <v>0</v>
      </c>
    </row>
    <row r="24" spans="1:12" x14ac:dyDescent="0.3">
      <c r="A24" t="s">
        <v>8</v>
      </c>
      <c r="B24" t="s">
        <v>14</v>
      </c>
      <c r="C24" t="s">
        <v>15</v>
      </c>
      <c r="D24">
        <v>34</v>
      </c>
      <c r="E24" t="s">
        <v>11</v>
      </c>
      <c r="F24" t="s">
        <v>12</v>
      </c>
      <c r="G24">
        <v>32</v>
      </c>
      <c r="H24" t="s">
        <v>133</v>
      </c>
      <c r="I24" t="s">
        <v>139</v>
      </c>
      <c r="J24" t="s">
        <v>21</v>
      </c>
      <c r="K24">
        <f>IF(AND(API_Cosevi[[#This Row],[Rol persona]]="Motociclista", OR(API_Cosevi[[#This Row],[Dia]]="Domingo", API_Cosevi[[#This Row],[Dia]]="Sabado")), 1, 0)</f>
        <v>0</v>
      </c>
      <c r="L24">
        <f>IF(AND(API_Cosevi[[#This Row],[Rol persona]]="Motociclista", OR(API_Cosevi[[#This Row],[Edad quinquenal]]="15 A 19", API_Cosevi[[#This Row],[Edad quinquenal]]="10 A 14")), 1, 0)</f>
        <v>0</v>
      </c>
    </row>
    <row r="25" spans="1:12" x14ac:dyDescent="0.3">
      <c r="A25" t="s">
        <v>33</v>
      </c>
      <c r="B25" t="s">
        <v>29</v>
      </c>
      <c r="C25" t="s">
        <v>29</v>
      </c>
      <c r="D25">
        <v>125</v>
      </c>
      <c r="E25" t="s">
        <v>158</v>
      </c>
      <c r="F25" t="s">
        <v>12</v>
      </c>
      <c r="G25">
        <v>21</v>
      </c>
      <c r="H25" t="s">
        <v>133</v>
      </c>
      <c r="I25" t="s">
        <v>139</v>
      </c>
      <c r="J25" t="s">
        <v>17</v>
      </c>
      <c r="K25">
        <f>IF(AND(API_Cosevi[[#This Row],[Rol persona]]="Motociclista", OR(API_Cosevi[[#This Row],[Dia]]="Domingo", API_Cosevi[[#This Row],[Dia]]="Sabado")), 1, 0)</f>
        <v>0</v>
      </c>
      <c r="L25">
        <f>IF(AND(API_Cosevi[[#This Row],[Rol persona]]="Motociclista", OR(API_Cosevi[[#This Row],[Edad quinquenal]]="15 A 19", API_Cosevi[[#This Row],[Edad quinquenal]]="10 A 14")), 1, 0)</f>
        <v>0</v>
      </c>
    </row>
    <row r="26" spans="1:12" x14ac:dyDescent="0.3">
      <c r="A26" t="s">
        <v>8</v>
      </c>
      <c r="B26" t="s">
        <v>14</v>
      </c>
      <c r="C26" t="s">
        <v>45</v>
      </c>
      <c r="D26">
        <v>2</v>
      </c>
      <c r="E26" t="s">
        <v>11</v>
      </c>
      <c r="F26" t="s">
        <v>12</v>
      </c>
      <c r="G26">
        <v>23</v>
      </c>
      <c r="H26" t="s">
        <v>133</v>
      </c>
      <c r="I26" t="s">
        <v>139</v>
      </c>
      <c r="J26" t="s">
        <v>17</v>
      </c>
      <c r="K26">
        <f>IF(AND(API_Cosevi[[#This Row],[Rol persona]]="Motociclista", OR(API_Cosevi[[#This Row],[Dia]]="Domingo", API_Cosevi[[#This Row],[Dia]]="Sabado")), 1, 0)</f>
        <v>0</v>
      </c>
      <c r="L26">
        <f>IF(AND(API_Cosevi[[#This Row],[Rol persona]]="Motociclista", OR(API_Cosevi[[#This Row],[Edad quinquenal]]="15 A 19", API_Cosevi[[#This Row],[Edad quinquenal]]="10 A 14")), 1, 0)</f>
        <v>0</v>
      </c>
    </row>
    <row r="27" spans="1:12" x14ac:dyDescent="0.3">
      <c r="A27" t="s">
        <v>8</v>
      </c>
      <c r="B27" t="s">
        <v>34</v>
      </c>
      <c r="C27" t="s">
        <v>44</v>
      </c>
      <c r="D27" t="s">
        <v>24</v>
      </c>
      <c r="E27" t="s">
        <v>11</v>
      </c>
      <c r="F27" t="s">
        <v>12</v>
      </c>
      <c r="G27">
        <v>29</v>
      </c>
      <c r="H27" t="s">
        <v>132</v>
      </c>
      <c r="I27" t="s">
        <v>139</v>
      </c>
      <c r="J27" t="s">
        <v>13</v>
      </c>
      <c r="K27">
        <f>IF(AND(API_Cosevi[[#This Row],[Rol persona]]="Motociclista", OR(API_Cosevi[[#This Row],[Dia]]="Domingo", API_Cosevi[[#This Row],[Dia]]="Sabado")), 1, 0)</f>
        <v>1</v>
      </c>
      <c r="L27">
        <f>IF(AND(API_Cosevi[[#This Row],[Rol persona]]="Motociclista", OR(API_Cosevi[[#This Row],[Edad quinquenal]]="15 A 19", API_Cosevi[[#This Row],[Edad quinquenal]]="10 A 14")), 1, 0)</f>
        <v>0</v>
      </c>
    </row>
    <row r="28" spans="1:12" x14ac:dyDescent="0.3">
      <c r="A28" t="s">
        <v>46</v>
      </c>
      <c r="B28" t="s">
        <v>14</v>
      </c>
      <c r="C28" t="s">
        <v>14</v>
      </c>
      <c r="D28" t="s">
        <v>24</v>
      </c>
      <c r="E28" t="s">
        <v>25</v>
      </c>
      <c r="F28" t="s">
        <v>12</v>
      </c>
      <c r="G28">
        <v>45</v>
      </c>
      <c r="H28" t="s">
        <v>138</v>
      </c>
      <c r="I28" t="s">
        <v>139</v>
      </c>
      <c r="J28" t="s">
        <v>19</v>
      </c>
      <c r="K28">
        <f>IF(AND(API_Cosevi[[#This Row],[Rol persona]]="Motociclista", OR(API_Cosevi[[#This Row],[Dia]]="Domingo", API_Cosevi[[#This Row],[Dia]]="Sabado")), 1, 0)</f>
        <v>0</v>
      </c>
      <c r="L28">
        <f>IF(AND(API_Cosevi[[#This Row],[Rol persona]]="Motociclista", OR(API_Cosevi[[#This Row],[Edad quinquenal]]="15 A 19", API_Cosevi[[#This Row],[Edad quinquenal]]="10 A 14")), 1, 0)</f>
        <v>0</v>
      </c>
    </row>
    <row r="29" spans="1:12" x14ac:dyDescent="0.3">
      <c r="A29" t="s">
        <v>8</v>
      </c>
      <c r="B29" t="s">
        <v>29</v>
      </c>
      <c r="C29" t="s">
        <v>47</v>
      </c>
      <c r="D29">
        <v>27</v>
      </c>
      <c r="E29" t="s">
        <v>16</v>
      </c>
      <c r="F29" t="s">
        <v>35</v>
      </c>
      <c r="G29">
        <v>25</v>
      </c>
      <c r="H29" t="s">
        <v>138</v>
      </c>
      <c r="I29" t="s">
        <v>139</v>
      </c>
      <c r="J29" t="s">
        <v>13</v>
      </c>
      <c r="K29">
        <f>IF(AND(API_Cosevi[[#This Row],[Rol persona]]="Motociclista", OR(API_Cosevi[[#This Row],[Dia]]="Domingo", API_Cosevi[[#This Row],[Dia]]="Sabado")), 1, 0)</f>
        <v>0</v>
      </c>
      <c r="L29">
        <f>IF(AND(API_Cosevi[[#This Row],[Rol persona]]="Motociclista", OR(API_Cosevi[[#This Row],[Edad quinquenal]]="15 A 19", API_Cosevi[[#This Row],[Edad quinquenal]]="10 A 14")), 1, 0)</f>
        <v>0</v>
      </c>
    </row>
    <row r="30" spans="1:12" x14ac:dyDescent="0.3">
      <c r="A30" t="s">
        <v>8</v>
      </c>
      <c r="B30" t="s">
        <v>14</v>
      </c>
      <c r="C30" t="s">
        <v>14</v>
      </c>
      <c r="D30" t="s">
        <v>24</v>
      </c>
      <c r="E30" t="s">
        <v>11</v>
      </c>
      <c r="F30" t="s">
        <v>12</v>
      </c>
      <c r="G30">
        <v>22</v>
      </c>
      <c r="H30" t="s">
        <v>138</v>
      </c>
      <c r="I30" t="s">
        <v>139</v>
      </c>
      <c r="J30" t="s">
        <v>17</v>
      </c>
      <c r="K30">
        <f>IF(AND(API_Cosevi[[#This Row],[Rol persona]]="Motociclista", OR(API_Cosevi[[#This Row],[Dia]]="Domingo", API_Cosevi[[#This Row],[Dia]]="Sabado")), 1, 0)</f>
        <v>1</v>
      </c>
      <c r="L30">
        <f>IF(AND(API_Cosevi[[#This Row],[Rol persona]]="Motociclista", OR(API_Cosevi[[#This Row],[Edad quinquenal]]="15 A 19", API_Cosevi[[#This Row],[Edad quinquenal]]="10 A 14")), 1, 0)</f>
        <v>0</v>
      </c>
    </row>
    <row r="31" spans="1:12" x14ac:dyDescent="0.3">
      <c r="A31" t="s">
        <v>8</v>
      </c>
      <c r="B31" t="s">
        <v>29</v>
      </c>
      <c r="C31" t="s">
        <v>48</v>
      </c>
      <c r="D31">
        <v>4</v>
      </c>
      <c r="E31" t="s">
        <v>25</v>
      </c>
      <c r="F31" t="s">
        <v>12</v>
      </c>
      <c r="G31">
        <v>68</v>
      </c>
      <c r="H31" t="s">
        <v>136</v>
      </c>
      <c r="I31" t="s">
        <v>139</v>
      </c>
      <c r="J31" t="s">
        <v>27</v>
      </c>
      <c r="K31">
        <f>IF(AND(API_Cosevi[[#This Row],[Rol persona]]="Motociclista", OR(API_Cosevi[[#This Row],[Dia]]="Domingo", API_Cosevi[[#This Row],[Dia]]="Sabado")), 1, 0)</f>
        <v>0</v>
      </c>
      <c r="L31">
        <f>IF(AND(API_Cosevi[[#This Row],[Rol persona]]="Motociclista", OR(API_Cosevi[[#This Row],[Edad quinquenal]]="15 A 19", API_Cosevi[[#This Row],[Edad quinquenal]]="10 A 14")), 1, 0)</f>
        <v>0</v>
      </c>
    </row>
    <row r="32" spans="1:12" x14ac:dyDescent="0.3">
      <c r="A32" t="s">
        <v>8</v>
      </c>
      <c r="B32" t="s">
        <v>29</v>
      </c>
      <c r="C32" t="s">
        <v>48</v>
      </c>
      <c r="D32">
        <v>4</v>
      </c>
      <c r="E32" t="s">
        <v>16</v>
      </c>
      <c r="F32" t="s">
        <v>35</v>
      </c>
      <c r="G32">
        <v>64</v>
      </c>
      <c r="H32" t="s">
        <v>136</v>
      </c>
      <c r="I32" t="s">
        <v>139</v>
      </c>
      <c r="J32" t="s">
        <v>49</v>
      </c>
      <c r="K32">
        <f>IF(AND(API_Cosevi[[#This Row],[Rol persona]]="Motociclista", OR(API_Cosevi[[#This Row],[Dia]]="Domingo", API_Cosevi[[#This Row],[Dia]]="Sabado")), 1, 0)</f>
        <v>0</v>
      </c>
      <c r="L32">
        <f>IF(AND(API_Cosevi[[#This Row],[Rol persona]]="Motociclista", OR(API_Cosevi[[#This Row],[Edad quinquenal]]="15 A 19", API_Cosevi[[#This Row],[Edad quinquenal]]="10 A 14")), 1, 0)</f>
        <v>0</v>
      </c>
    </row>
    <row r="33" spans="1:12" x14ac:dyDescent="0.3">
      <c r="A33" t="s">
        <v>8</v>
      </c>
      <c r="B33" t="s">
        <v>50</v>
      </c>
      <c r="C33" t="s">
        <v>51</v>
      </c>
      <c r="D33" t="s">
        <v>24</v>
      </c>
      <c r="E33" t="s">
        <v>11</v>
      </c>
      <c r="F33" t="s">
        <v>12</v>
      </c>
      <c r="G33" s="10">
        <v>28</v>
      </c>
      <c r="H33" t="s">
        <v>135</v>
      </c>
      <c r="I33" t="s">
        <v>139</v>
      </c>
      <c r="J33" t="s">
        <v>13</v>
      </c>
      <c r="K33">
        <f>IF(AND(API_Cosevi[[#This Row],[Rol persona]]="Motociclista", OR(API_Cosevi[[#This Row],[Dia]]="Domingo", API_Cosevi[[#This Row],[Dia]]="Sabado")), 1, 0)</f>
        <v>0</v>
      </c>
      <c r="L33">
        <f>IF(AND(API_Cosevi[[#This Row],[Rol persona]]="Motociclista", OR(API_Cosevi[[#This Row],[Edad quinquenal]]="15 A 19", API_Cosevi[[#This Row],[Edad quinquenal]]="10 A 14")), 1, 0)</f>
        <v>0</v>
      </c>
    </row>
    <row r="34" spans="1:12" x14ac:dyDescent="0.3">
      <c r="A34" t="s">
        <v>33</v>
      </c>
      <c r="B34" t="s">
        <v>9</v>
      </c>
      <c r="C34" t="s">
        <v>52</v>
      </c>
      <c r="D34" t="s">
        <v>24</v>
      </c>
      <c r="E34" t="s">
        <v>158</v>
      </c>
      <c r="F34" t="s">
        <v>12</v>
      </c>
      <c r="G34">
        <v>55</v>
      </c>
      <c r="H34" t="s">
        <v>134</v>
      </c>
      <c r="I34" t="s">
        <v>139</v>
      </c>
      <c r="J34" t="s">
        <v>36</v>
      </c>
      <c r="K34">
        <f>IF(AND(API_Cosevi[[#This Row],[Rol persona]]="Motociclista", OR(API_Cosevi[[#This Row],[Dia]]="Domingo", API_Cosevi[[#This Row],[Dia]]="Sabado")), 1, 0)</f>
        <v>0</v>
      </c>
      <c r="L34">
        <f>IF(AND(API_Cosevi[[#This Row],[Rol persona]]="Motociclista", OR(API_Cosevi[[#This Row],[Edad quinquenal]]="15 A 19", API_Cosevi[[#This Row],[Edad quinquenal]]="10 A 14")), 1, 0)</f>
        <v>0</v>
      </c>
    </row>
    <row r="35" spans="1:12" x14ac:dyDescent="0.3">
      <c r="A35" t="s">
        <v>46</v>
      </c>
      <c r="B35" t="s">
        <v>14</v>
      </c>
      <c r="C35" t="s">
        <v>14</v>
      </c>
      <c r="D35" t="s">
        <v>24</v>
      </c>
      <c r="E35" t="s">
        <v>11</v>
      </c>
      <c r="F35" t="s">
        <v>12</v>
      </c>
      <c r="G35">
        <v>22</v>
      </c>
      <c r="H35" t="s">
        <v>133</v>
      </c>
      <c r="I35" t="s">
        <v>139</v>
      </c>
      <c r="J35" t="s">
        <v>17</v>
      </c>
      <c r="K35">
        <f>IF(AND(API_Cosevi[[#This Row],[Rol persona]]="Motociclista", OR(API_Cosevi[[#This Row],[Dia]]="Domingo", API_Cosevi[[#This Row],[Dia]]="Sabado")), 1, 0)</f>
        <v>0</v>
      </c>
      <c r="L35">
        <f>IF(AND(API_Cosevi[[#This Row],[Rol persona]]="Motociclista", OR(API_Cosevi[[#This Row],[Edad quinquenal]]="15 A 19", API_Cosevi[[#This Row],[Edad quinquenal]]="10 A 14")), 1, 0)</f>
        <v>0</v>
      </c>
    </row>
    <row r="36" spans="1:12" x14ac:dyDescent="0.3">
      <c r="A36" t="s">
        <v>8</v>
      </c>
      <c r="B36" t="s">
        <v>53</v>
      </c>
      <c r="C36" t="s">
        <v>54</v>
      </c>
      <c r="D36">
        <v>3</v>
      </c>
      <c r="E36" t="s">
        <v>11</v>
      </c>
      <c r="F36" t="s">
        <v>12</v>
      </c>
      <c r="G36">
        <v>26</v>
      </c>
      <c r="H36" t="s">
        <v>133</v>
      </c>
      <c r="I36" t="s">
        <v>139</v>
      </c>
      <c r="J36" t="s">
        <v>13</v>
      </c>
      <c r="K36">
        <f>IF(AND(API_Cosevi[[#This Row],[Rol persona]]="Motociclista", OR(API_Cosevi[[#This Row],[Dia]]="Domingo", API_Cosevi[[#This Row],[Dia]]="Sabado")), 1, 0)</f>
        <v>0</v>
      </c>
      <c r="L36">
        <f>IF(AND(API_Cosevi[[#This Row],[Rol persona]]="Motociclista", OR(API_Cosevi[[#This Row],[Edad quinquenal]]="15 A 19", API_Cosevi[[#This Row],[Edad quinquenal]]="10 A 14")), 1, 0)</f>
        <v>0</v>
      </c>
    </row>
    <row r="37" spans="1:12" x14ac:dyDescent="0.3">
      <c r="A37" t="s">
        <v>8</v>
      </c>
      <c r="B37" t="s">
        <v>29</v>
      </c>
      <c r="C37" t="s">
        <v>30</v>
      </c>
      <c r="D37">
        <v>27</v>
      </c>
      <c r="E37" t="s">
        <v>11</v>
      </c>
      <c r="F37" t="s">
        <v>55</v>
      </c>
      <c r="G37">
        <v>22</v>
      </c>
      <c r="H37" t="s">
        <v>133</v>
      </c>
      <c r="I37" t="s">
        <v>139</v>
      </c>
      <c r="J37" t="s">
        <v>17</v>
      </c>
      <c r="K37">
        <f>IF(AND(API_Cosevi[[#This Row],[Rol persona]]="Motociclista", OR(API_Cosevi[[#This Row],[Dia]]="Domingo", API_Cosevi[[#This Row],[Dia]]="Sabado")), 1, 0)</f>
        <v>0</v>
      </c>
      <c r="L37">
        <f>IF(AND(API_Cosevi[[#This Row],[Rol persona]]="Motociclista", OR(API_Cosevi[[#This Row],[Edad quinquenal]]="15 A 19", API_Cosevi[[#This Row],[Edad quinquenal]]="10 A 14")), 1, 0)</f>
        <v>0</v>
      </c>
    </row>
    <row r="38" spans="1:12" x14ac:dyDescent="0.3">
      <c r="A38" t="s">
        <v>8</v>
      </c>
      <c r="B38" t="s">
        <v>14</v>
      </c>
      <c r="C38" t="s">
        <v>45</v>
      </c>
      <c r="D38">
        <v>237</v>
      </c>
      <c r="E38" t="s">
        <v>11</v>
      </c>
      <c r="F38" t="s">
        <v>55</v>
      </c>
      <c r="G38">
        <v>45</v>
      </c>
      <c r="H38" t="s">
        <v>132</v>
      </c>
      <c r="I38" t="s">
        <v>139</v>
      </c>
      <c r="J38" t="s">
        <v>19</v>
      </c>
      <c r="K38">
        <f>IF(AND(API_Cosevi[[#This Row],[Rol persona]]="Motociclista", OR(API_Cosevi[[#This Row],[Dia]]="Domingo", API_Cosevi[[#This Row],[Dia]]="Sabado")), 1, 0)</f>
        <v>1</v>
      </c>
      <c r="L38">
        <f>IF(AND(API_Cosevi[[#This Row],[Rol persona]]="Motociclista", OR(API_Cosevi[[#This Row],[Edad quinquenal]]="15 A 19", API_Cosevi[[#This Row],[Edad quinquenal]]="10 A 14")), 1, 0)</f>
        <v>0</v>
      </c>
    </row>
    <row r="39" spans="1:12" x14ac:dyDescent="0.3">
      <c r="A39" t="s">
        <v>56</v>
      </c>
      <c r="B39" t="s">
        <v>29</v>
      </c>
      <c r="C39" t="s">
        <v>57</v>
      </c>
      <c r="D39">
        <v>813</v>
      </c>
      <c r="E39" t="s">
        <v>158</v>
      </c>
      <c r="F39" t="s">
        <v>55</v>
      </c>
      <c r="G39">
        <v>45</v>
      </c>
      <c r="H39" t="s">
        <v>132</v>
      </c>
      <c r="I39" t="s">
        <v>139</v>
      </c>
      <c r="J39" t="s">
        <v>19</v>
      </c>
      <c r="K39">
        <f>IF(AND(API_Cosevi[[#This Row],[Rol persona]]="Motociclista", OR(API_Cosevi[[#This Row],[Dia]]="Domingo", API_Cosevi[[#This Row],[Dia]]="Sabado")), 1, 0)</f>
        <v>0</v>
      </c>
      <c r="L39">
        <f>IF(AND(API_Cosevi[[#This Row],[Rol persona]]="Motociclista", OR(API_Cosevi[[#This Row],[Edad quinquenal]]="15 A 19", API_Cosevi[[#This Row],[Edad quinquenal]]="10 A 14")), 1, 0)</f>
        <v>0</v>
      </c>
    </row>
    <row r="40" spans="1:12" x14ac:dyDescent="0.3">
      <c r="A40" t="s">
        <v>8</v>
      </c>
      <c r="B40" t="s">
        <v>53</v>
      </c>
      <c r="C40" t="s">
        <v>40</v>
      </c>
      <c r="D40">
        <v>3</v>
      </c>
      <c r="E40" t="s">
        <v>25</v>
      </c>
      <c r="F40" t="s">
        <v>55</v>
      </c>
      <c r="G40">
        <v>29</v>
      </c>
      <c r="H40" t="s">
        <v>138</v>
      </c>
      <c r="I40" t="s">
        <v>139</v>
      </c>
      <c r="J40" t="s">
        <v>13</v>
      </c>
      <c r="K40">
        <f>IF(AND(API_Cosevi[[#This Row],[Rol persona]]="Motociclista", OR(API_Cosevi[[#This Row],[Dia]]="Domingo", API_Cosevi[[#This Row],[Dia]]="Sabado")), 1, 0)</f>
        <v>0</v>
      </c>
      <c r="L40">
        <f>IF(AND(API_Cosevi[[#This Row],[Rol persona]]="Motociclista", OR(API_Cosevi[[#This Row],[Edad quinquenal]]="15 A 19", API_Cosevi[[#This Row],[Edad quinquenal]]="10 A 14")), 1, 0)</f>
        <v>0</v>
      </c>
    </row>
    <row r="41" spans="1:12" x14ac:dyDescent="0.3">
      <c r="A41" t="s">
        <v>8</v>
      </c>
      <c r="B41" t="s">
        <v>53</v>
      </c>
      <c r="C41" t="s">
        <v>40</v>
      </c>
      <c r="D41">
        <v>1</v>
      </c>
      <c r="E41" t="s">
        <v>11</v>
      </c>
      <c r="F41" t="s">
        <v>55</v>
      </c>
      <c r="G41">
        <v>40</v>
      </c>
      <c r="H41" t="s">
        <v>137</v>
      </c>
      <c r="I41" t="s">
        <v>139</v>
      </c>
      <c r="J41" t="s">
        <v>28</v>
      </c>
      <c r="K41">
        <f>IF(AND(API_Cosevi[[#This Row],[Rol persona]]="Motociclista", OR(API_Cosevi[[#This Row],[Dia]]="Domingo", API_Cosevi[[#This Row],[Dia]]="Sabado")), 1, 0)</f>
        <v>0</v>
      </c>
      <c r="L41">
        <f>IF(AND(API_Cosevi[[#This Row],[Rol persona]]="Motociclista", OR(API_Cosevi[[#This Row],[Edad quinquenal]]="15 A 19", API_Cosevi[[#This Row],[Edad quinquenal]]="10 A 14")), 1, 0)</f>
        <v>0</v>
      </c>
    </row>
    <row r="42" spans="1:12" x14ac:dyDescent="0.3">
      <c r="A42" t="s">
        <v>56</v>
      </c>
      <c r="B42" t="s">
        <v>50</v>
      </c>
      <c r="C42" t="s">
        <v>50</v>
      </c>
      <c r="D42" t="s">
        <v>24</v>
      </c>
      <c r="E42" t="s">
        <v>158</v>
      </c>
      <c r="F42" t="s">
        <v>35</v>
      </c>
      <c r="G42">
        <v>55</v>
      </c>
      <c r="H42" t="s">
        <v>137</v>
      </c>
      <c r="I42" t="s">
        <v>139</v>
      </c>
      <c r="J42" t="s">
        <v>36</v>
      </c>
      <c r="K42">
        <f>IF(AND(API_Cosevi[[#This Row],[Rol persona]]="Motociclista", OR(API_Cosevi[[#This Row],[Dia]]="Domingo", API_Cosevi[[#This Row],[Dia]]="Sabado")), 1, 0)</f>
        <v>0</v>
      </c>
      <c r="L42">
        <f>IF(AND(API_Cosevi[[#This Row],[Rol persona]]="Motociclista", OR(API_Cosevi[[#This Row],[Edad quinquenal]]="15 A 19", API_Cosevi[[#This Row],[Edad quinquenal]]="10 A 14")), 1, 0)</f>
        <v>0</v>
      </c>
    </row>
    <row r="43" spans="1:12" x14ac:dyDescent="0.3">
      <c r="A43" t="s">
        <v>46</v>
      </c>
      <c r="B43" t="s">
        <v>29</v>
      </c>
      <c r="C43" t="s">
        <v>29</v>
      </c>
      <c r="D43" t="s">
        <v>24</v>
      </c>
      <c r="E43" t="s">
        <v>16</v>
      </c>
      <c r="F43" t="s">
        <v>12</v>
      </c>
      <c r="G43">
        <v>26</v>
      </c>
      <c r="H43" t="s">
        <v>138</v>
      </c>
      <c r="I43" t="s">
        <v>140</v>
      </c>
      <c r="J43" t="s">
        <v>13</v>
      </c>
      <c r="K43">
        <f>IF(AND(API_Cosevi[[#This Row],[Rol persona]]="Motociclista", OR(API_Cosevi[[#This Row],[Dia]]="Domingo", API_Cosevi[[#This Row],[Dia]]="Sabado")), 1, 0)</f>
        <v>0</v>
      </c>
      <c r="L43">
        <f>IF(AND(API_Cosevi[[#This Row],[Rol persona]]="Motociclista", OR(API_Cosevi[[#This Row],[Edad quinquenal]]="15 A 19", API_Cosevi[[#This Row],[Edad quinquenal]]="10 A 14")), 1, 0)</f>
        <v>0</v>
      </c>
    </row>
    <row r="44" spans="1:12" x14ac:dyDescent="0.3">
      <c r="A44" t="s">
        <v>22</v>
      </c>
      <c r="B44" t="s">
        <v>9</v>
      </c>
      <c r="C44" t="s">
        <v>23</v>
      </c>
      <c r="D44">
        <v>150</v>
      </c>
      <c r="E44" t="s">
        <v>11</v>
      </c>
      <c r="F44" t="s">
        <v>12</v>
      </c>
      <c r="G44">
        <v>49</v>
      </c>
      <c r="H44" t="s">
        <v>138</v>
      </c>
      <c r="I44" t="s">
        <v>140</v>
      </c>
      <c r="J44" t="s">
        <v>19</v>
      </c>
      <c r="K44">
        <f>IF(AND(API_Cosevi[[#This Row],[Rol persona]]="Motociclista", OR(API_Cosevi[[#This Row],[Dia]]="Domingo", API_Cosevi[[#This Row],[Dia]]="Sabado")), 1, 0)</f>
        <v>1</v>
      </c>
      <c r="L44">
        <f>IF(AND(API_Cosevi[[#This Row],[Rol persona]]="Motociclista", OR(API_Cosevi[[#This Row],[Edad quinquenal]]="15 A 19", API_Cosevi[[#This Row],[Edad quinquenal]]="10 A 14")), 1, 0)</f>
        <v>0</v>
      </c>
    </row>
    <row r="45" spans="1:12" x14ac:dyDescent="0.3">
      <c r="A45" t="s">
        <v>8</v>
      </c>
      <c r="B45" t="s">
        <v>50</v>
      </c>
      <c r="C45" t="s">
        <v>58</v>
      </c>
      <c r="D45">
        <v>2</v>
      </c>
      <c r="E45" t="s">
        <v>11</v>
      </c>
      <c r="F45" t="s">
        <v>12</v>
      </c>
      <c r="G45">
        <v>29</v>
      </c>
      <c r="H45" t="s">
        <v>137</v>
      </c>
      <c r="I45" t="s">
        <v>140</v>
      </c>
      <c r="J45" t="s">
        <v>13</v>
      </c>
      <c r="K45">
        <f>IF(AND(API_Cosevi[[#This Row],[Rol persona]]="Motociclista", OR(API_Cosevi[[#This Row],[Dia]]="Domingo", API_Cosevi[[#This Row],[Dia]]="Sabado")), 1, 0)</f>
        <v>0</v>
      </c>
      <c r="L45">
        <f>IF(AND(API_Cosevi[[#This Row],[Rol persona]]="Motociclista", OR(API_Cosevi[[#This Row],[Edad quinquenal]]="15 A 19", API_Cosevi[[#This Row],[Edad quinquenal]]="10 A 14")), 1, 0)</f>
        <v>0</v>
      </c>
    </row>
    <row r="46" spans="1:12" x14ac:dyDescent="0.3">
      <c r="A46" t="s">
        <v>33</v>
      </c>
      <c r="B46" t="s">
        <v>34</v>
      </c>
      <c r="C46" t="s">
        <v>59</v>
      </c>
      <c r="D46" t="s">
        <v>24</v>
      </c>
      <c r="E46" t="s">
        <v>158</v>
      </c>
      <c r="F46" t="s">
        <v>12</v>
      </c>
      <c r="G46">
        <v>53</v>
      </c>
      <c r="H46" t="s">
        <v>137</v>
      </c>
      <c r="I46" t="s">
        <v>140</v>
      </c>
      <c r="J46" t="s">
        <v>60</v>
      </c>
      <c r="K46">
        <f>IF(AND(API_Cosevi[[#This Row],[Rol persona]]="Motociclista", OR(API_Cosevi[[#This Row],[Dia]]="Domingo", API_Cosevi[[#This Row],[Dia]]="Sabado")), 1, 0)</f>
        <v>0</v>
      </c>
      <c r="L46">
        <f>IF(AND(API_Cosevi[[#This Row],[Rol persona]]="Motociclista", OR(API_Cosevi[[#This Row],[Edad quinquenal]]="15 A 19", API_Cosevi[[#This Row],[Edad quinquenal]]="10 A 14")), 1, 0)</f>
        <v>0</v>
      </c>
    </row>
    <row r="47" spans="1:12" x14ac:dyDescent="0.3">
      <c r="A47" t="s">
        <v>8</v>
      </c>
      <c r="B47" t="s">
        <v>14</v>
      </c>
      <c r="C47" t="s">
        <v>61</v>
      </c>
      <c r="D47">
        <v>34</v>
      </c>
      <c r="E47" t="s">
        <v>62</v>
      </c>
      <c r="F47" t="s">
        <v>12</v>
      </c>
      <c r="G47">
        <v>21</v>
      </c>
      <c r="H47" t="s">
        <v>137</v>
      </c>
      <c r="I47" t="s">
        <v>140</v>
      </c>
      <c r="J47" t="s">
        <v>17</v>
      </c>
      <c r="K47">
        <f>IF(AND(API_Cosevi[[#This Row],[Rol persona]]="Motociclista", OR(API_Cosevi[[#This Row],[Dia]]="Domingo", API_Cosevi[[#This Row],[Dia]]="Sabado")), 1, 0)</f>
        <v>0</v>
      </c>
      <c r="L47">
        <f>IF(AND(API_Cosevi[[#This Row],[Rol persona]]="Motociclista", OR(API_Cosevi[[#This Row],[Edad quinquenal]]="15 A 19", API_Cosevi[[#This Row],[Edad quinquenal]]="10 A 14")), 1, 0)</f>
        <v>0</v>
      </c>
    </row>
    <row r="48" spans="1:12" x14ac:dyDescent="0.3">
      <c r="A48" t="s">
        <v>8</v>
      </c>
      <c r="B48" t="s">
        <v>40</v>
      </c>
      <c r="C48" t="s">
        <v>40</v>
      </c>
      <c r="D48">
        <v>3</v>
      </c>
      <c r="E48" t="s">
        <v>11</v>
      </c>
      <c r="F48" t="s">
        <v>12</v>
      </c>
      <c r="G48">
        <v>21</v>
      </c>
      <c r="H48" t="s">
        <v>134</v>
      </c>
      <c r="I48" t="s">
        <v>140</v>
      </c>
      <c r="J48" t="s">
        <v>17</v>
      </c>
      <c r="K48">
        <f>IF(AND(API_Cosevi[[#This Row],[Rol persona]]="Motociclista", OR(API_Cosevi[[#This Row],[Dia]]="Domingo", API_Cosevi[[#This Row],[Dia]]="Sabado")), 1, 0)</f>
        <v>0</v>
      </c>
      <c r="L48">
        <f>IF(AND(API_Cosevi[[#This Row],[Rol persona]]="Motociclista", OR(API_Cosevi[[#This Row],[Edad quinquenal]]="15 A 19", API_Cosevi[[#This Row],[Edad quinquenal]]="10 A 14")), 1, 0)</f>
        <v>0</v>
      </c>
    </row>
    <row r="49" spans="1:12" x14ac:dyDescent="0.3">
      <c r="A49" t="s">
        <v>46</v>
      </c>
      <c r="B49" t="s">
        <v>9</v>
      </c>
      <c r="C49" t="s">
        <v>10</v>
      </c>
      <c r="D49">
        <v>21</v>
      </c>
      <c r="E49" t="s">
        <v>25</v>
      </c>
      <c r="F49" t="s">
        <v>12</v>
      </c>
      <c r="G49">
        <v>21</v>
      </c>
      <c r="H49" t="s">
        <v>132</v>
      </c>
      <c r="I49" t="s">
        <v>140</v>
      </c>
      <c r="J49" t="s">
        <v>17</v>
      </c>
      <c r="K49">
        <f>IF(AND(API_Cosevi[[#This Row],[Rol persona]]="Motociclista", OR(API_Cosevi[[#This Row],[Dia]]="Domingo", API_Cosevi[[#This Row],[Dia]]="Sabado")), 1, 0)</f>
        <v>0</v>
      </c>
      <c r="L49">
        <f>IF(AND(API_Cosevi[[#This Row],[Rol persona]]="Motociclista", OR(API_Cosevi[[#This Row],[Edad quinquenal]]="15 A 19", API_Cosevi[[#This Row],[Edad quinquenal]]="10 A 14")), 1, 0)</f>
        <v>0</v>
      </c>
    </row>
    <row r="50" spans="1:12" x14ac:dyDescent="0.3">
      <c r="A50" t="s">
        <v>8</v>
      </c>
      <c r="B50" t="s">
        <v>9</v>
      </c>
      <c r="C50" t="s">
        <v>23</v>
      </c>
      <c r="D50">
        <v>21</v>
      </c>
      <c r="E50" t="s">
        <v>11</v>
      </c>
      <c r="F50" t="s">
        <v>12</v>
      </c>
      <c r="G50">
        <v>38</v>
      </c>
      <c r="H50" t="s">
        <v>132</v>
      </c>
      <c r="I50" t="s">
        <v>140</v>
      </c>
      <c r="J50" t="s">
        <v>32</v>
      </c>
      <c r="K50">
        <f>IF(AND(API_Cosevi[[#This Row],[Rol persona]]="Motociclista", OR(API_Cosevi[[#This Row],[Dia]]="Domingo", API_Cosevi[[#This Row],[Dia]]="Sabado")), 1, 0)</f>
        <v>1</v>
      </c>
      <c r="L50">
        <f>IF(AND(API_Cosevi[[#This Row],[Rol persona]]="Motociclista", OR(API_Cosevi[[#This Row],[Edad quinquenal]]="15 A 19", API_Cosevi[[#This Row],[Edad quinquenal]]="10 A 14")), 1, 0)</f>
        <v>0</v>
      </c>
    </row>
    <row r="51" spans="1:12" x14ac:dyDescent="0.3">
      <c r="A51" t="s">
        <v>22</v>
      </c>
      <c r="B51" t="s">
        <v>9</v>
      </c>
      <c r="C51" t="s">
        <v>63</v>
      </c>
      <c r="D51">
        <v>21</v>
      </c>
      <c r="E51" t="s">
        <v>11</v>
      </c>
      <c r="F51" t="s">
        <v>12</v>
      </c>
      <c r="G51">
        <v>27</v>
      </c>
      <c r="H51" t="s">
        <v>138</v>
      </c>
      <c r="I51" t="s">
        <v>140</v>
      </c>
      <c r="J51" t="s">
        <v>13</v>
      </c>
      <c r="K51">
        <f>IF(AND(API_Cosevi[[#This Row],[Rol persona]]="Motociclista", OR(API_Cosevi[[#This Row],[Dia]]="Domingo", API_Cosevi[[#This Row],[Dia]]="Sabado")), 1, 0)</f>
        <v>1</v>
      </c>
      <c r="L51">
        <f>IF(AND(API_Cosevi[[#This Row],[Rol persona]]="Motociclista", OR(API_Cosevi[[#This Row],[Edad quinquenal]]="15 A 19", API_Cosevi[[#This Row],[Edad quinquenal]]="10 A 14")), 1, 0)</f>
        <v>0</v>
      </c>
    </row>
    <row r="52" spans="1:12" x14ac:dyDescent="0.3">
      <c r="A52" t="s">
        <v>38</v>
      </c>
      <c r="B52" t="s">
        <v>34</v>
      </c>
      <c r="C52" t="s">
        <v>34</v>
      </c>
      <c r="D52" t="s">
        <v>24</v>
      </c>
      <c r="E52" t="s">
        <v>39</v>
      </c>
      <c r="F52" t="s">
        <v>35</v>
      </c>
      <c r="G52">
        <v>32</v>
      </c>
      <c r="H52" t="s">
        <v>134</v>
      </c>
      <c r="I52" t="s">
        <v>140</v>
      </c>
      <c r="J52" t="s">
        <v>21</v>
      </c>
      <c r="K52">
        <f>IF(AND(API_Cosevi[[#This Row],[Rol persona]]="Motociclista", OR(API_Cosevi[[#This Row],[Dia]]="Domingo", API_Cosevi[[#This Row],[Dia]]="Sabado")), 1, 0)</f>
        <v>0</v>
      </c>
      <c r="L52">
        <f>IF(AND(API_Cosevi[[#This Row],[Rol persona]]="Motociclista", OR(API_Cosevi[[#This Row],[Edad quinquenal]]="15 A 19", API_Cosevi[[#This Row],[Edad quinquenal]]="10 A 14")), 1, 0)</f>
        <v>0</v>
      </c>
    </row>
    <row r="53" spans="1:12" x14ac:dyDescent="0.3">
      <c r="A53" t="s">
        <v>22</v>
      </c>
      <c r="B53" t="s">
        <v>14</v>
      </c>
      <c r="C53" t="s">
        <v>45</v>
      </c>
      <c r="D53">
        <v>237</v>
      </c>
      <c r="E53" t="s">
        <v>25</v>
      </c>
      <c r="F53" t="s">
        <v>12</v>
      </c>
      <c r="G53">
        <v>39</v>
      </c>
      <c r="H53" t="s">
        <v>133</v>
      </c>
      <c r="I53" t="s">
        <v>140</v>
      </c>
      <c r="J53" t="s">
        <v>32</v>
      </c>
      <c r="K53">
        <f>IF(AND(API_Cosevi[[#This Row],[Rol persona]]="Motociclista", OR(API_Cosevi[[#This Row],[Dia]]="Domingo", API_Cosevi[[#This Row],[Dia]]="Sabado")), 1, 0)</f>
        <v>0</v>
      </c>
      <c r="L53">
        <f>IF(AND(API_Cosevi[[#This Row],[Rol persona]]="Motociclista", OR(API_Cosevi[[#This Row],[Edad quinquenal]]="15 A 19", API_Cosevi[[#This Row],[Edad quinquenal]]="10 A 14")), 1, 0)</f>
        <v>0</v>
      </c>
    </row>
    <row r="54" spans="1:12" x14ac:dyDescent="0.3">
      <c r="A54" t="s">
        <v>8</v>
      </c>
      <c r="B54" t="s">
        <v>34</v>
      </c>
      <c r="C54" t="s">
        <v>34</v>
      </c>
      <c r="D54" t="s">
        <v>24</v>
      </c>
      <c r="E54" t="s">
        <v>11</v>
      </c>
      <c r="F54" t="s">
        <v>12</v>
      </c>
      <c r="G54">
        <v>28</v>
      </c>
      <c r="H54" t="s">
        <v>133</v>
      </c>
      <c r="I54" t="s">
        <v>140</v>
      </c>
      <c r="J54" t="s">
        <v>13</v>
      </c>
      <c r="K54">
        <f>IF(AND(API_Cosevi[[#This Row],[Rol persona]]="Motociclista", OR(API_Cosevi[[#This Row],[Dia]]="Domingo", API_Cosevi[[#This Row],[Dia]]="Sabado")), 1, 0)</f>
        <v>0</v>
      </c>
      <c r="L54">
        <f>IF(AND(API_Cosevi[[#This Row],[Rol persona]]="Motociclista", OR(API_Cosevi[[#This Row],[Edad quinquenal]]="15 A 19", API_Cosevi[[#This Row],[Edad quinquenal]]="10 A 14")), 1, 0)</f>
        <v>0</v>
      </c>
    </row>
    <row r="55" spans="1:12" x14ac:dyDescent="0.3">
      <c r="A55" t="s">
        <v>33</v>
      </c>
      <c r="B55" t="s">
        <v>29</v>
      </c>
      <c r="C55" t="s">
        <v>48</v>
      </c>
      <c r="D55">
        <v>738</v>
      </c>
      <c r="E55" t="s">
        <v>158</v>
      </c>
      <c r="F55" t="s">
        <v>12</v>
      </c>
      <c r="G55">
        <v>27</v>
      </c>
      <c r="H55" t="s">
        <v>132</v>
      </c>
      <c r="I55" t="s">
        <v>140</v>
      </c>
      <c r="J55" t="s">
        <v>13</v>
      </c>
      <c r="K55">
        <f>IF(AND(API_Cosevi[[#This Row],[Rol persona]]="Motociclista", OR(API_Cosevi[[#This Row],[Dia]]="Domingo", API_Cosevi[[#This Row],[Dia]]="Sabado")), 1, 0)</f>
        <v>0</v>
      </c>
      <c r="L55">
        <f>IF(AND(API_Cosevi[[#This Row],[Rol persona]]="Motociclista", OR(API_Cosevi[[#This Row],[Edad quinquenal]]="15 A 19", API_Cosevi[[#This Row],[Edad quinquenal]]="10 A 14")), 1, 0)</f>
        <v>0</v>
      </c>
    </row>
    <row r="56" spans="1:12" x14ac:dyDescent="0.3">
      <c r="A56" t="s">
        <v>8</v>
      </c>
      <c r="B56" t="s">
        <v>64</v>
      </c>
      <c r="C56" t="s">
        <v>65</v>
      </c>
      <c r="D56">
        <v>248</v>
      </c>
      <c r="E56" t="s">
        <v>11</v>
      </c>
      <c r="F56" t="s">
        <v>12</v>
      </c>
      <c r="G56">
        <v>31</v>
      </c>
      <c r="H56" t="s">
        <v>132</v>
      </c>
      <c r="I56" t="s">
        <v>140</v>
      </c>
      <c r="J56" t="s">
        <v>21</v>
      </c>
      <c r="K56">
        <f>IF(AND(API_Cosevi[[#This Row],[Rol persona]]="Motociclista", OR(API_Cosevi[[#This Row],[Dia]]="Domingo", API_Cosevi[[#This Row],[Dia]]="Sabado")), 1, 0)</f>
        <v>1</v>
      </c>
      <c r="L56">
        <f>IF(AND(API_Cosevi[[#This Row],[Rol persona]]="Motociclista", OR(API_Cosevi[[#This Row],[Edad quinquenal]]="15 A 19", API_Cosevi[[#This Row],[Edad quinquenal]]="10 A 14")), 1, 0)</f>
        <v>0</v>
      </c>
    </row>
    <row r="57" spans="1:12" x14ac:dyDescent="0.3">
      <c r="A57" t="s">
        <v>38</v>
      </c>
      <c r="B57" t="s">
        <v>29</v>
      </c>
      <c r="C57" t="s">
        <v>29</v>
      </c>
      <c r="D57">
        <v>3</v>
      </c>
      <c r="E57" t="s">
        <v>39</v>
      </c>
      <c r="F57" t="s">
        <v>12</v>
      </c>
      <c r="G57">
        <v>48</v>
      </c>
      <c r="H57" t="s">
        <v>132</v>
      </c>
      <c r="I57" t="s">
        <v>140</v>
      </c>
      <c r="J57" t="s">
        <v>19</v>
      </c>
      <c r="K57">
        <f>IF(AND(API_Cosevi[[#This Row],[Rol persona]]="Motociclista", OR(API_Cosevi[[#This Row],[Dia]]="Domingo", API_Cosevi[[#This Row],[Dia]]="Sabado")), 1, 0)</f>
        <v>0</v>
      </c>
      <c r="L57">
        <f>IF(AND(API_Cosevi[[#This Row],[Rol persona]]="Motociclista", OR(API_Cosevi[[#This Row],[Edad quinquenal]]="15 A 19", API_Cosevi[[#This Row],[Edad quinquenal]]="10 A 14")), 1, 0)</f>
        <v>0</v>
      </c>
    </row>
    <row r="58" spans="1:12" x14ac:dyDescent="0.3">
      <c r="A58" t="s">
        <v>8</v>
      </c>
      <c r="B58" t="s">
        <v>9</v>
      </c>
      <c r="C58" t="s">
        <v>23</v>
      </c>
      <c r="D58">
        <v>906</v>
      </c>
      <c r="E58" t="s">
        <v>11</v>
      </c>
      <c r="F58" t="s">
        <v>12</v>
      </c>
      <c r="G58">
        <v>33</v>
      </c>
      <c r="H58" t="s">
        <v>138</v>
      </c>
      <c r="I58" t="s">
        <v>140</v>
      </c>
      <c r="J58" t="s">
        <v>21</v>
      </c>
      <c r="K58">
        <f>IF(AND(API_Cosevi[[#This Row],[Rol persona]]="Motociclista", OR(API_Cosevi[[#This Row],[Dia]]="Domingo", API_Cosevi[[#This Row],[Dia]]="Sabado")), 1, 0)</f>
        <v>1</v>
      </c>
      <c r="L58">
        <f>IF(AND(API_Cosevi[[#This Row],[Rol persona]]="Motociclista", OR(API_Cosevi[[#This Row],[Edad quinquenal]]="15 A 19", API_Cosevi[[#This Row],[Edad quinquenal]]="10 A 14")), 1, 0)</f>
        <v>0</v>
      </c>
    </row>
    <row r="59" spans="1:12" x14ac:dyDescent="0.3">
      <c r="A59" t="s">
        <v>38</v>
      </c>
      <c r="B59" t="s">
        <v>14</v>
      </c>
      <c r="C59" t="s">
        <v>61</v>
      </c>
      <c r="D59">
        <v>34</v>
      </c>
      <c r="E59" t="s">
        <v>39</v>
      </c>
      <c r="F59" t="s">
        <v>12</v>
      </c>
      <c r="G59">
        <v>34</v>
      </c>
      <c r="H59" t="s">
        <v>137</v>
      </c>
      <c r="I59" t="s">
        <v>140</v>
      </c>
      <c r="J59" t="s">
        <v>21</v>
      </c>
      <c r="K59">
        <f>IF(AND(API_Cosevi[[#This Row],[Rol persona]]="Motociclista", OR(API_Cosevi[[#This Row],[Dia]]="Domingo", API_Cosevi[[#This Row],[Dia]]="Sabado")), 1, 0)</f>
        <v>0</v>
      </c>
      <c r="L59">
        <f>IF(AND(API_Cosevi[[#This Row],[Rol persona]]="Motociclista", OR(API_Cosevi[[#This Row],[Edad quinquenal]]="15 A 19", API_Cosevi[[#This Row],[Edad quinquenal]]="10 A 14")), 1, 0)</f>
        <v>0</v>
      </c>
    </row>
    <row r="60" spans="1:12" x14ac:dyDescent="0.3">
      <c r="A60" t="s">
        <v>22</v>
      </c>
      <c r="B60" t="s">
        <v>14</v>
      </c>
      <c r="C60" t="s">
        <v>66</v>
      </c>
      <c r="D60">
        <v>245</v>
      </c>
      <c r="E60" t="s">
        <v>11</v>
      </c>
      <c r="F60" t="s">
        <v>12</v>
      </c>
      <c r="G60">
        <v>33</v>
      </c>
      <c r="H60" t="s">
        <v>136</v>
      </c>
      <c r="I60" t="s">
        <v>140</v>
      </c>
      <c r="J60" t="s">
        <v>21</v>
      </c>
      <c r="K60">
        <f>IF(AND(API_Cosevi[[#This Row],[Rol persona]]="Motociclista", OR(API_Cosevi[[#This Row],[Dia]]="Domingo", API_Cosevi[[#This Row],[Dia]]="Sabado")), 1, 0)</f>
        <v>0</v>
      </c>
      <c r="L60">
        <f>IF(AND(API_Cosevi[[#This Row],[Rol persona]]="Motociclista", OR(API_Cosevi[[#This Row],[Edad quinquenal]]="15 A 19", API_Cosevi[[#This Row],[Edad quinquenal]]="10 A 14")), 1, 0)</f>
        <v>0</v>
      </c>
    </row>
    <row r="61" spans="1:12" x14ac:dyDescent="0.3">
      <c r="A61" t="s">
        <v>33</v>
      </c>
      <c r="B61" t="s">
        <v>14</v>
      </c>
      <c r="C61" t="s">
        <v>67</v>
      </c>
      <c r="D61" t="s">
        <v>24</v>
      </c>
      <c r="E61" t="s">
        <v>158</v>
      </c>
      <c r="F61" t="s">
        <v>35</v>
      </c>
      <c r="G61">
        <v>46</v>
      </c>
      <c r="H61" t="s">
        <v>136</v>
      </c>
      <c r="I61" t="s">
        <v>140</v>
      </c>
      <c r="J61" t="s">
        <v>19</v>
      </c>
      <c r="K61">
        <f>IF(AND(API_Cosevi[[#This Row],[Rol persona]]="Motociclista", OR(API_Cosevi[[#This Row],[Dia]]="Domingo", API_Cosevi[[#This Row],[Dia]]="Sabado")), 1, 0)</f>
        <v>0</v>
      </c>
      <c r="L61">
        <f>IF(AND(API_Cosevi[[#This Row],[Rol persona]]="Motociclista", OR(API_Cosevi[[#This Row],[Edad quinquenal]]="15 A 19", API_Cosevi[[#This Row],[Edad quinquenal]]="10 A 14")), 1, 0)</f>
        <v>0</v>
      </c>
    </row>
    <row r="62" spans="1:12" x14ac:dyDescent="0.3">
      <c r="A62" t="s">
        <v>33</v>
      </c>
      <c r="B62" t="s">
        <v>29</v>
      </c>
      <c r="C62" t="s">
        <v>29</v>
      </c>
      <c r="D62">
        <v>1</v>
      </c>
      <c r="E62" t="s">
        <v>158</v>
      </c>
      <c r="F62" t="s">
        <v>12</v>
      </c>
      <c r="G62" t="s">
        <v>68</v>
      </c>
      <c r="H62" t="s">
        <v>135</v>
      </c>
      <c r="I62" t="s">
        <v>140</v>
      </c>
      <c r="J62" t="s">
        <v>68</v>
      </c>
      <c r="K62">
        <f>IF(AND(API_Cosevi[[#This Row],[Rol persona]]="Motociclista", OR(API_Cosevi[[#This Row],[Dia]]="Domingo", API_Cosevi[[#This Row],[Dia]]="Sabado")), 1, 0)</f>
        <v>0</v>
      </c>
      <c r="L62">
        <f>IF(AND(API_Cosevi[[#This Row],[Rol persona]]="Motociclista", OR(API_Cosevi[[#This Row],[Edad quinquenal]]="15 A 19", API_Cosevi[[#This Row],[Edad quinquenal]]="10 A 14")), 1, 0)</f>
        <v>0</v>
      </c>
    </row>
    <row r="63" spans="1:12" x14ac:dyDescent="0.3">
      <c r="A63" t="s">
        <v>8</v>
      </c>
      <c r="B63" t="s">
        <v>9</v>
      </c>
      <c r="C63" t="s">
        <v>23</v>
      </c>
      <c r="D63">
        <v>160</v>
      </c>
      <c r="E63" t="s">
        <v>62</v>
      </c>
      <c r="F63" t="s">
        <v>35</v>
      </c>
      <c r="G63" t="s">
        <v>68</v>
      </c>
      <c r="H63" t="s">
        <v>133</v>
      </c>
      <c r="I63" t="s">
        <v>140</v>
      </c>
      <c r="J63" t="s">
        <v>68</v>
      </c>
      <c r="K63">
        <f>IF(AND(API_Cosevi[[#This Row],[Rol persona]]="Motociclista", OR(API_Cosevi[[#This Row],[Dia]]="Domingo", API_Cosevi[[#This Row],[Dia]]="Sabado")), 1, 0)</f>
        <v>0</v>
      </c>
      <c r="L63">
        <f>IF(AND(API_Cosevi[[#This Row],[Rol persona]]="Motociclista", OR(API_Cosevi[[#This Row],[Edad quinquenal]]="15 A 19", API_Cosevi[[#This Row],[Edad quinquenal]]="10 A 14")), 1, 0)</f>
        <v>0</v>
      </c>
    </row>
    <row r="64" spans="1:12" x14ac:dyDescent="0.3">
      <c r="A64" t="s">
        <v>8</v>
      </c>
      <c r="B64" t="s">
        <v>9</v>
      </c>
      <c r="C64" t="s">
        <v>69</v>
      </c>
      <c r="D64">
        <v>142</v>
      </c>
      <c r="E64" t="s">
        <v>11</v>
      </c>
      <c r="F64" t="s">
        <v>12</v>
      </c>
      <c r="G64">
        <v>27</v>
      </c>
      <c r="H64" t="s">
        <v>132</v>
      </c>
      <c r="I64" t="s">
        <v>140</v>
      </c>
      <c r="J64" t="s">
        <v>13</v>
      </c>
      <c r="K64">
        <f>IF(AND(API_Cosevi[[#This Row],[Rol persona]]="Motociclista", OR(API_Cosevi[[#This Row],[Dia]]="Domingo", API_Cosevi[[#This Row],[Dia]]="Sabado")), 1, 0)</f>
        <v>1</v>
      </c>
      <c r="L64">
        <f>IF(AND(API_Cosevi[[#This Row],[Rol persona]]="Motociclista", OR(API_Cosevi[[#This Row],[Edad quinquenal]]="15 A 19", API_Cosevi[[#This Row],[Edad quinquenal]]="10 A 14")), 1, 0)</f>
        <v>0</v>
      </c>
    </row>
    <row r="65" spans="1:12" x14ac:dyDescent="0.3">
      <c r="A65" t="s">
        <v>8</v>
      </c>
      <c r="B65" t="s">
        <v>9</v>
      </c>
      <c r="C65" t="s">
        <v>69</v>
      </c>
      <c r="D65">
        <v>142</v>
      </c>
      <c r="E65" t="s">
        <v>11</v>
      </c>
      <c r="F65" t="s">
        <v>12</v>
      </c>
      <c r="G65">
        <v>19</v>
      </c>
      <c r="H65" t="s">
        <v>132</v>
      </c>
      <c r="I65" t="s">
        <v>140</v>
      </c>
      <c r="J65" t="s">
        <v>31</v>
      </c>
      <c r="K65">
        <f>IF(AND(API_Cosevi[[#This Row],[Rol persona]]="Motociclista", OR(API_Cosevi[[#This Row],[Dia]]="Domingo", API_Cosevi[[#This Row],[Dia]]="Sabado")), 1, 0)</f>
        <v>1</v>
      </c>
      <c r="L65">
        <f>IF(AND(API_Cosevi[[#This Row],[Rol persona]]="Motociclista", OR(API_Cosevi[[#This Row],[Edad quinquenal]]="15 A 19", API_Cosevi[[#This Row],[Edad quinquenal]]="10 A 14")), 1, 0)</f>
        <v>1</v>
      </c>
    </row>
    <row r="66" spans="1:12" x14ac:dyDescent="0.3">
      <c r="A66" t="s">
        <v>8</v>
      </c>
      <c r="B66" t="s">
        <v>64</v>
      </c>
      <c r="C66" t="s">
        <v>70</v>
      </c>
      <c r="D66" t="s">
        <v>24</v>
      </c>
      <c r="E66" t="s">
        <v>11</v>
      </c>
      <c r="F66" t="s">
        <v>12</v>
      </c>
      <c r="G66">
        <v>26</v>
      </c>
      <c r="H66" t="s">
        <v>133</v>
      </c>
      <c r="I66" t="s">
        <v>140</v>
      </c>
      <c r="J66" t="s">
        <v>13</v>
      </c>
      <c r="K66">
        <f>IF(AND(API_Cosevi[[#This Row],[Rol persona]]="Motociclista", OR(API_Cosevi[[#This Row],[Dia]]="Domingo", API_Cosevi[[#This Row],[Dia]]="Sabado")), 1, 0)</f>
        <v>0</v>
      </c>
      <c r="L66">
        <f>IF(AND(API_Cosevi[[#This Row],[Rol persona]]="Motociclista", OR(API_Cosevi[[#This Row],[Edad quinquenal]]="15 A 19", API_Cosevi[[#This Row],[Edad quinquenal]]="10 A 14")), 1, 0)</f>
        <v>0</v>
      </c>
    </row>
    <row r="67" spans="1:12" x14ac:dyDescent="0.3">
      <c r="A67" t="s">
        <v>8</v>
      </c>
      <c r="B67" t="s">
        <v>14</v>
      </c>
      <c r="C67" t="s">
        <v>71</v>
      </c>
      <c r="D67">
        <v>23</v>
      </c>
      <c r="E67" t="s">
        <v>25</v>
      </c>
      <c r="F67" t="s">
        <v>12</v>
      </c>
      <c r="G67">
        <v>26</v>
      </c>
      <c r="H67" t="s">
        <v>132</v>
      </c>
      <c r="I67" t="s">
        <v>140</v>
      </c>
      <c r="J67" t="s">
        <v>13</v>
      </c>
      <c r="K67">
        <f>IF(AND(API_Cosevi[[#This Row],[Rol persona]]="Motociclista", OR(API_Cosevi[[#This Row],[Dia]]="Domingo", API_Cosevi[[#This Row],[Dia]]="Sabado")), 1, 0)</f>
        <v>0</v>
      </c>
      <c r="L67">
        <f>IF(AND(API_Cosevi[[#This Row],[Rol persona]]="Motociclista", OR(API_Cosevi[[#This Row],[Edad quinquenal]]="15 A 19", API_Cosevi[[#This Row],[Edad quinquenal]]="10 A 14")), 1, 0)</f>
        <v>0</v>
      </c>
    </row>
    <row r="68" spans="1:12" x14ac:dyDescent="0.3">
      <c r="A68" t="s">
        <v>22</v>
      </c>
      <c r="B68" t="s">
        <v>40</v>
      </c>
      <c r="C68" t="s">
        <v>72</v>
      </c>
      <c r="D68" t="s">
        <v>24</v>
      </c>
      <c r="E68" t="s">
        <v>11</v>
      </c>
      <c r="F68" t="s">
        <v>12</v>
      </c>
      <c r="G68">
        <v>27</v>
      </c>
      <c r="H68" t="s">
        <v>132</v>
      </c>
      <c r="I68" t="s">
        <v>140</v>
      </c>
      <c r="J68" t="s">
        <v>13</v>
      </c>
      <c r="K68">
        <f>IF(AND(API_Cosevi[[#This Row],[Rol persona]]="Motociclista", OR(API_Cosevi[[#This Row],[Dia]]="Domingo", API_Cosevi[[#This Row],[Dia]]="Sabado")), 1, 0)</f>
        <v>1</v>
      </c>
      <c r="L68">
        <f>IF(AND(API_Cosevi[[#This Row],[Rol persona]]="Motociclista", OR(API_Cosevi[[#This Row],[Edad quinquenal]]="15 A 19", API_Cosevi[[#This Row],[Edad quinquenal]]="10 A 14")), 1, 0)</f>
        <v>0</v>
      </c>
    </row>
    <row r="69" spans="1:12" x14ac:dyDescent="0.3">
      <c r="A69" t="s">
        <v>33</v>
      </c>
      <c r="B69" t="s">
        <v>29</v>
      </c>
      <c r="C69" t="s">
        <v>48</v>
      </c>
      <c r="D69">
        <v>142</v>
      </c>
      <c r="E69" t="s">
        <v>11</v>
      </c>
      <c r="F69" t="s">
        <v>12</v>
      </c>
      <c r="G69">
        <v>18</v>
      </c>
      <c r="H69" t="s">
        <v>132</v>
      </c>
      <c r="I69" t="s">
        <v>140</v>
      </c>
      <c r="J69" t="s">
        <v>31</v>
      </c>
      <c r="K69">
        <f>IF(AND(API_Cosevi[[#This Row],[Rol persona]]="Motociclista", OR(API_Cosevi[[#This Row],[Dia]]="Domingo", API_Cosevi[[#This Row],[Dia]]="Sabado")), 1, 0)</f>
        <v>1</v>
      </c>
      <c r="L69">
        <f>IF(AND(API_Cosevi[[#This Row],[Rol persona]]="Motociclista", OR(API_Cosevi[[#This Row],[Edad quinquenal]]="15 A 19", API_Cosevi[[#This Row],[Edad quinquenal]]="10 A 14")), 1, 0)</f>
        <v>1</v>
      </c>
    </row>
    <row r="70" spans="1:12" x14ac:dyDescent="0.3">
      <c r="A70" t="s">
        <v>8</v>
      </c>
      <c r="B70" t="s">
        <v>9</v>
      </c>
      <c r="C70" t="s">
        <v>69</v>
      </c>
      <c r="D70">
        <v>142</v>
      </c>
      <c r="E70" t="s">
        <v>11</v>
      </c>
      <c r="F70" t="s">
        <v>12</v>
      </c>
      <c r="G70">
        <v>27</v>
      </c>
      <c r="H70" t="s">
        <v>132</v>
      </c>
      <c r="I70" t="s">
        <v>140</v>
      </c>
      <c r="J70" t="s">
        <v>13</v>
      </c>
      <c r="K70">
        <f>IF(AND(API_Cosevi[[#This Row],[Rol persona]]="Motociclista", OR(API_Cosevi[[#This Row],[Dia]]="Domingo", API_Cosevi[[#This Row],[Dia]]="Sabado")), 1, 0)</f>
        <v>1</v>
      </c>
      <c r="L70">
        <f>IF(AND(API_Cosevi[[#This Row],[Rol persona]]="Motociclista", OR(API_Cosevi[[#This Row],[Edad quinquenal]]="15 A 19", API_Cosevi[[#This Row],[Edad quinquenal]]="10 A 14")), 1, 0)</f>
        <v>0</v>
      </c>
    </row>
    <row r="71" spans="1:12" x14ac:dyDescent="0.3">
      <c r="A71" t="s">
        <v>8</v>
      </c>
      <c r="B71" t="s">
        <v>9</v>
      </c>
      <c r="C71" t="s">
        <v>69</v>
      </c>
      <c r="D71">
        <v>142</v>
      </c>
      <c r="E71" t="s">
        <v>11</v>
      </c>
      <c r="F71" t="s">
        <v>12</v>
      </c>
      <c r="G71">
        <v>19</v>
      </c>
      <c r="H71" t="s">
        <v>132</v>
      </c>
      <c r="I71" t="s">
        <v>140</v>
      </c>
      <c r="J71" t="s">
        <v>31</v>
      </c>
      <c r="K71">
        <f>IF(AND(API_Cosevi[[#This Row],[Rol persona]]="Motociclista", OR(API_Cosevi[[#This Row],[Dia]]="Domingo", API_Cosevi[[#This Row],[Dia]]="Sabado")), 1, 0)</f>
        <v>1</v>
      </c>
      <c r="L71">
        <f>IF(AND(API_Cosevi[[#This Row],[Rol persona]]="Motociclista", OR(API_Cosevi[[#This Row],[Edad quinquenal]]="15 A 19", API_Cosevi[[#This Row],[Edad quinquenal]]="10 A 14")), 1, 0)</f>
        <v>1</v>
      </c>
    </row>
    <row r="72" spans="1:12" x14ac:dyDescent="0.3">
      <c r="A72" t="s">
        <v>8</v>
      </c>
      <c r="B72" t="s">
        <v>64</v>
      </c>
      <c r="C72" t="s">
        <v>73</v>
      </c>
      <c r="D72">
        <v>36</v>
      </c>
      <c r="E72" t="s">
        <v>11</v>
      </c>
      <c r="F72" t="s">
        <v>12</v>
      </c>
      <c r="G72">
        <v>63</v>
      </c>
      <c r="H72" t="s">
        <v>138</v>
      </c>
      <c r="I72" t="s">
        <v>140</v>
      </c>
      <c r="J72" t="s">
        <v>49</v>
      </c>
      <c r="K72">
        <f>IF(AND(API_Cosevi[[#This Row],[Rol persona]]="Motociclista", OR(API_Cosevi[[#This Row],[Dia]]="Domingo", API_Cosevi[[#This Row],[Dia]]="Sabado")), 1, 0)</f>
        <v>1</v>
      </c>
      <c r="L72">
        <f>IF(AND(API_Cosevi[[#This Row],[Rol persona]]="Motociclista", OR(API_Cosevi[[#This Row],[Edad quinquenal]]="15 A 19", API_Cosevi[[#This Row],[Edad quinquenal]]="10 A 14")), 1, 0)</f>
        <v>0</v>
      </c>
    </row>
    <row r="73" spans="1:12" x14ac:dyDescent="0.3">
      <c r="A73" t="s">
        <v>8</v>
      </c>
      <c r="B73" t="s">
        <v>29</v>
      </c>
      <c r="C73" t="s">
        <v>74</v>
      </c>
      <c r="D73">
        <v>4</v>
      </c>
      <c r="E73" t="s">
        <v>11</v>
      </c>
      <c r="F73" t="s">
        <v>12</v>
      </c>
      <c r="G73" t="s">
        <v>68</v>
      </c>
      <c r="H73" t="s">
        <v>138</v>
      </c>
      <c r="I73" t="s">
        <v>140</v>
      </c>
      <c r="J73" t="s">
        <v>68</v>
      </c>
      <c r="K73">
        <f>IF(AND(API_Cosevi[[#This Row],[Rol persona]]="Motociclista", OR(API_Cosevi[[#This Row],[Dia]]="Domingo", API_Cosevi[[#This Row],[Dia]]="Sabado")), 1, 0)</f>
        <v>1</v>
      </c>
      <c r="L73">
        <f>IF(AND(API_Cosevi[[#This Row],[Rol persona]]="Motociclista", OR(API_Cosevi[[#This Row],[Edad quinquenal]]="15 A 19", API_Cosevi[[#This Row],[Edad quinquenal]]="10 A 14")), 1, 0)</f>
        <v>0</v>
      </c>
    </row>
    <row r="74" spans="1:12" x14ac:dyDescent="0.3">
      <c r="A74" t="s">
        <v>8</v>
      </c>
      <c r="B74" t="s">
        <v>14</v>
      </c>
      <c r="C74" t="s">
        <v>15</v>
      </c>
      <c r="D74">
        <v>34</v>
      </c>
      <c r="E74" t="s">
        <v>11</v>
      </c>
      <c r="F74" t="s">
        <v>12</v>
      </c>
      <c r="G74">
        <v>44</v>
      </c>
      <c r="H74" t="s">
        <v>138</v>
      </c>
      <c r="I74" t="s">
        <v>140</v>
      </c>
      <c r="J74" t="s">
        <v>28</v>
      </c>
      <c r="K74">
        <f>IF(AND(API_Cosevi[[#This Row],[Rol persona]]="Motociclista", OR(API_Cosevi[[#This Row],[Dia]]="Domingo", API_Cosevi[[#This Row],[Dia]]="Sabado")), 1, 0)</f>
        <v>1</v>
      </c>
      <c r="L74">
        <f>IF(AND(API_Cosevi[[#This Row],[Rol persona]]="Motociclista", OR(API_Cosevi[[#This Row],[Edad quinquenal]]="15 A 19", API_Cosevi[[#This Row],[Edad quinquenal]]="10 A 14")), 1, 0)</f>
        <v>0</v>
      </c>
    </row>
    <row r="75" spans="1:12" x14ac:dyDescent="0.3">
      <c r="A75" t="s">
        <v>22</v>
      </c>
      <c r="B75" t="s">
        <v>9</v>
      </c>
      <c r="C75" t="s">
        <v>75</v>
      </c>
      <c r="D75">
        <v>158</v>
      </c>
      <c r="E75" t="s">
        <v>11</v>
      </c>
      <c r="F75" t="s">
        <v>12</v>
      </c>
      <c r="G75">
        <v>62</v>
      </c>
      <c r="H75" t="s">
        <v>137</v>
      </c>
      <c r="I75" t="s">
        <v>140</v>
      </c>
      <c r="J75" t="s">
        <v>49</v>
      </c>
      <c r="K75">
        <f>IF(AND(API_Cosevi[[#This Row],[Rol persona]]="Motociclista", OR(API_Cosevi[[#This Row],[Dia]]="Domingo", API_Cosevi[[#This Row],[Dia]]="Sabado")), 1, 0)</f>
        <v>0</v>
      </c>
      <c r="L75">
        <f>IF(AND(API_Cosevi[[#This Row],[Rol persona]]="Motociclista", OR(API_Cosevi[[#This Row],[Edad quinquenal]]="15 A 19", API_Cosevi[[#This Row],[Edad quinquenal]]="10 A 14")), 1, 0)</f>
        <v>0</v>
      </c>
    </row>
    <row r="76" spans="1:12" x14ac:dyDescent="0.3">
      <c r="A76" t="s">
        <v>33</v>
      </c>
      <c r="B76" t="s">
        <v>14</v>
      </c>
      <c r="C76" t="s">
        <v>45</v>
      </c>
      <c r="D76" t="s">
        <v>24</v>
      </c>
      <c r="E76" t="s">
        <v>158</v>
      </c>
      <c r="F76" t="s">
        <v>12</v>
      </c>
      <c r="G76">
        <v>68</v>
      </c>
      <c r="H76" t="s">
        <v>137</v>
      </c>
      <c r="I76" t="s">
        <v>140</v>
      </c>
      <c r="J76" t="s">
        <v>27</v>
      </c>
      <c r="K76">
        <f>IF(AND(API_Cosevi[[#This Row],[Rol persona]]="Motociclista", OR(API_Cosevi[[#This Row],[Dia]]="Domingo", API_Cosevi[[#This Row],[Dia]]="Sabado")), 1, 0)</f>
        <v>0</v>
      </c>
      <c r="L76">
        <f>IF(AND(API_Cosevi[[#This Row],[Rol persona]]="Motociclista", OR(API_Cosevi[[#This Row],[Edad quinquenal]]="15 A 19", API_Cosevi[[#This Row],[Edad quinquenal]]="10 A 14")), 1, 0)</f>
        <v>0</v>
      </c>
    </row>
    <row r="77" spans="1:12" x14ac:dyDescent="0.3">
      <c r="A77" t="s">
        <v>22</v>
      </c>
      <c r="B77" t="s">
        <v>29</v>
      </c>
      <c r="C77" t="s">
        <v>57</v>
      </c>
      <c r="D77">
        <v>35</v>
      </c>
      <c r="E77" t="s">
        <v>16</v>
      </c>
      <c r="F77" t="s">
        <v>35</v>
      </c>
      <c r="G77">
        <v>32</v>
      </c>
      <c r="H77" t="s">
        <v>135</v>
      </c>
      <c r="I77" t="s">
        <v>140</v>
      </c>
      <c r="J77" t="s">
        <v>21</v>
      </c>
      <c r="K77">
        <f>IF(AND(API_Cosevi[[#This Row],[Rol persona]]="Motociclista", OR(API_Cosevi[[#This Row],[Dia]]="Domingo", API_Cosevi[[#This Row],[Dia]]="Sabado")), 1, 0)</f>
        <v>0</v>
      </c>
      <c r="L77">
        <f>IF(AND(API_Cosevi[[#This Row],[Rol persona]]="Motociclista", OR(API_Cosevi[[#This Row],[Edad quinquenal]]="15 A 19", API_Cosevi[[#This Row],[Edad quinquenal]]="10 A 14")), 1, 0)</f>
        <v>0</v>
      </c>
    </row>
    <row r="78" spans="1:12" x14ac:dyDescent="0.3">
      <c r="A78" t="s">
        <v>22</v>
      </c>
      <c r="B78" t="s">
        <v>29</v>
      </c>
      <c r="C78" t="s">
        <v>57</v>
      </c>
      <c r="D78">
        <v>35</v>
      </c>
      <c r="E78" t="s">
        <v>16</v>
      </c>
      <c r="F78" t="s">
        <v>35</v>
      </c>
      <c r="G78">
        <v>6</v>
      </c>
      <c r="H78" t="s">
        <v>135</v>
      </c>
      <c r="I78" t="s">
        <v>140</v>
      </c>
      <c r="J78" t="s">
        <v>76</v>
      </c>
      <c r="K78">
        <f>IF(AND(API_Cosevi[[#This Row],[Rol persona]]="Motociclista", OR(API_Cosevi[[#This Row],[Dia]]="Domingo", API_Cosevi[[#This Row],[Dia]]="Sabado")), 1, 0)</f>
        <v>0</v>
      </c>
      <c r="L78">
        <f>IF(AND(API_Cosevi[[#This Row],[Rol persona]]="Motociclista", OR(API_Cosevi[[#This Row],[Edad quinquenal]]="15 A 19", API_Cosevi[[#This Row],[Edad quinquenal]]="10 A 14")), 1, 0)</f>
        <v>0</v>
      </c>
    </row>
    <row r="79" spans="1:12" x14ac:dyDescent="0.3">
      <c r="A79" t="s">
        <v>33</v>
      </c>
      <c r="B79" t="s">
        <v>14</v>
      </c>
      <c r="C79" t="s">
        <v>18</v>
      </c>
      <c r="D79">
        <v>34</v>
      </c>
      <c r="E79" t="s">
        <v>158</v>
      </c>
      <c r="F79" t="s">
        <v>12</v>
      </c>
      <c r="G79">
        <v>41</v>
      </c>
      <c r="H79" t="s">
        <v>134</v>
      </c>
      <c r="I79" t="s">
        <v>140</v>
      </c>
      <c r="J79" t="s">
        <v>28</v>
      </c>
      <c r="K79">
        <f>IF(AND(API_Cosevi[[#This Row],[Rol persona]]="Motociclista", OR(API_Cosevi[[#This Row],[Dia]]="Domingo", API_Cosevi[[#This Row],[Dia]]="Sabado")), 1, 0)</f>
        <v>0</v>
      </c>
      <c r="L79">
        <f>IF(AND(API_Cosevi[[#This Row],[Rol persona]]="Motociclista", OR(API_Cosevi[[#This Row],[Edad quinquenal]]="15 A 19", API_Cosevi[[#This Row],[Edad quinquenal]]="10 A 14")), 1, 0)</f>
        <v>0</v>
      </c>
    </row>
    <row r="80" spans="1:12" x14ac:dyDescent="0.3">
      <c r="A80" t="s">
        <v>22</v>
      </c>
      <c r="B80" t="s">
        <v>9</v>
      </c>
      <c r="C80" t="s">
        <v>77</v>
      </c>
      <c r="D80" t="s">
        <v>24</v>
      </c>
      <c r="E80" t="s">
        <v>25</v>
      </c>
      <c r="F80" t="s">
        <v>12</v>
      </c>
      <c r="G80">
        <v>57</v>
      </c>
      <c r="H80" t="s">
        <v>134</v>
      </c>
      <c r="I80" t="s">
        <v>141</v>
      </c>
      <c r="J80" t="s">
        <v>36</v>
      </c>
      <c r="K80">
        <f>IF(AND(API_Cosevi[[#This Row],[Rol persona]]="Motociclista", OR(API_Cosevi[[#This Row],[Dia]]="Domingo", API_Cosevi[[#This Row],[Dia]]="Sabado")), 1, 0)</f>
        <v>0</v>
      </c>
      <c r="L80">
        <f>IF(AND(API_Cosevi[[#This Row],[Rol persona]]="Motociclista", OR(API_Cosevi[[#This Row],[Edad quinquenal]]="15 A 19", API_Cosevi[[#This Row],[Edad quinquenal]]="10 A 14")), 1, 0)</f>
        <v>0</v>
      </c>
    </row>
    <row r="81" spans="1:12" x14ac:dyDescent="0.3">
      <c r="A81" t="s">
        <v>22</v>
      </c>
      <c r="B81" t="s">
        <v>34</v>
      </c>
      <c r="C81" t="s">
        <v>78</v>
      </c>
      <c r="D81">
        <v>147</v>
      </c>
      <c r="E81" t="s">
        <v>11</v>
      </c>
      <c r="F81" t="s">
        <v>12</v>
      </c>
      <c r="G81">
        <v>44</v>
      </c>
      <c r="H81" t="s">
        <v>133</v>
      </c>
      <c r="I81" t="s">
        <v>141</v>
      </c>
      <c r="J81" t="s">
        <v>28</v>
      </c>
      <c r="K81">
        <f>IF(AND(API_Cosevi[[#This Row],[Rol persona]]="Motociclista", OR(API_Cosevi[[#This Row],[Dia]]="Domingo", API_Cosevi[[#This Row],[Dia]]="Sabado")), 1, 0)</f>
        <v>0</v>
      </c>
      <c r="L81">
        <f>IF(AND(API_Cosevi[[#This Row],[Rol persona]]="Motociclista", OR(API_Cosevi[[#This Row],[Edad quinquenal]]="15 A 19", API_Cosevi[[#This Row],[Edad quinquenal]]="10 A 14")), 1, 0)</f>
        <v>0</v>
      </c>
    </row>
    <row r="82" spans="1:12" x14ac:dyDescent="0.3">
      <c r="A82" t="s">
        <v>46</v>
      </c>
      <c r="B82" t="s">
        <v>64</v>
      </c>
      <c r="C82" t="s">
        <v>70</v>
      </c>
      <c r="D82">
        <v>32</v>
      </c>
      <c r="E82" t="s">
        <v>11</v>
      </c>
      <c r="F82" t="s">
        <v>12</v>
      </c>
      <c r="G82">
        <v>40</v>
      </c>
      <c r="H82" t="s">
        <v>132</v>
      </c>
      <c r="I82" t="s">
        <v>141</v>
      </c>
      <c r="J82" t="s">
        <v>28</v>
      </c>
      <c r="K82">
        <f>IF(AND(API_Cosevi[[#This Row],[Rol persona]]="Motociclista", OR(API_Cosevi[[#This Row],[Dia]]="Domingo", API_Cosevi[[#This Row],[Dia]]="Sabado")), 1, 0)</f>
        <v>1</v>
      </c>
      <c r="L82">
        <f>IF(AND(API_Cosevi[[#This Row],[Rol persona]]="Motociclista", OR(API_Cosevi[[#This Row],[Edad quinquenal]]="15 A 19", API_Cosevi[[#This Row],[Edad quinquenal]]="10 A 14")), 1, 0)</f>
        <v>0</v>
      </c>
    </row>
    <row r="83" spans="1:12" x14ac:dyDescent="0.3">
      <c r="A83" t="s">
        <v>8</v>
      </c>
      <c r="B83" t="s">
        <v>14</v>
      </c>
      <c r="C83" t="s">
        <v>14</v>
      </c>
      <c r="D83">
        <v>132</v>
      </c>
      <c r="E83" t="s">
        <v>11</v>
      </c>
      <c r="F83" t="s">
        <v>12</v>
      </c>
      <c r="G83">
        <v>45</v>
      </c>
      <c r="H83" t="s">
        <v>132</v>
      </c>
      <c r="I83" t="s">
        <v>141</v>
      </c>
      <c r="J83" t="s">
        <v>19</v>
      </c>
      <c r="K83">
        <f>IF(AND(API_Cosevi[[#This Row],[Rol persona]]="Motociclista", OR(API_Cosevi[[#This Row],[Dia]]="Domingo", API_Cosevi[[#This Row],[Dia]]="Sabado")), 1, 0)</f>
        <v>1</v>
      </c>
      <c r="L83">
        <f>IF(AND(API_Cosevi[[#This Row],[Rol persona]]="Motociclista", OR(API_Cosevi[[#This Row],[Edad quinquenal]]="15 A 19", API_Cosevi[[#This Row],[Edad quinquenal]]="10 A 14")), 1, 0)</f>
        <v>0</v>
      </c>
    </row>
    <row r="84" spans="1:12" x14ac:dyDescent="0.3">
      <c r="A84" t="s">
        <v>8</v>
      </c>
      <c r="B84" t="s">
        <v>9</v>
      </c>
      <c r="C84" t="s">
        <v>23</v>
      </c>
      <c r="D84">
        <v>150</v>
      </c>
      <c r="E84" t="s">
        <v>11</v>
      </c>
      <c r="F84" t="s">
        <v>12</v>
      </c>
      <c r="G84">
        <v>43</v>
      </c>
      <c r="H84" t="s">
        <v>138</v>
      </c>
      <c r="I84" t="s">
        <v>141</v>
      </c>
      <c r="J84" t="s">
        <v>28</v>
      </c>
      <c r="K84">
        <f>IF(AND(API_Cosevi[[#This Row],[Rol persona]]="Motociclista", OR(API_Cosevi[[#This Row],[Dia]]="Domingo", API_Cosevi[[#This Row],[Dia]]="Sabado")), 1, 0)</f>
        <v>1</v>
      </c>
      <c r="L84">
        <f>IF(AND(API_Cosevi[[#This Row],[Rol persona]]="Motociclista", OR(API_Cosevi[[#This Row],[Edad quinquenal]]="15 A 19", API_Cosevi[[#This Row],[Edad quinquenal]]="10 A 14")), 1, 0)</f>
        <v>0</v>
      </c>
    </row>
    <row r="85" spans="1:12" x14ac:dyDescent="0.3">
      <c r="A85" t="s">
        <v>22</v>
      </c>
      <c r="B85" t="s">
        <v>14</v>
      </c>
      <c r="C85" t="s">
        <v>66</v>
      </c>
      <c r="D85">
        <v>245</v>
      </c>
      <c r="E85" t="s">
        <v>11</v>
      </c>
      <c r="F85" t="s">
        <v>12</v>
      </c>
      <c r="G85">
        <v>49</v>
      </c>
      <c r="H85" t="s">
        <v>138</v>
      </c>
      <c r="I85" t="s">
        <v>141</v>
      </c>
      <c r="J85" t="s">
        <v>19</v>
      </c>
      <c r="K85">
        <f>IF(AND(API_Cosevi[[#This Row],[Rol persona]]="Motociclista", OR(API_Cosevi[[#This Row],[Dia]]="Domingo", API_Cosevi[[#This Row],[Dia]]="Sabado")), 1, 0)</f>
        <v>1</v>
      </c>
      <c r="L85">
        <f>IF(AND(API_Cosevi[[#This Row],[Rol persona]]="Motociclista", OR(API_Cosevi[[#This Row],[Edad quinquenal]]="15 A 19", API_Cosevi[[#This Row],[Edad quinquenal]]="10 A 14")), 1, 0)</f>
        <v>0</v>
      </c>
    </row>
    <row r="86" spans="1:12" x14ac:dyDescent="0.3">
      <c r="A86" t="s">
        <v>33</v>
      </c>
      <c r="B86" t="s">
        <v>14</v>
      </c>
      <c r="C86" t="s">
        <v>41</v>
      </c>
      <c r="D86">
        <v>34</v>
      </c>
      <c r="E86" t="s">
        <v>62</v>
      </c>
      <c r="F86" t="s">
        <v>35</v>
      </c>
      <c r="G86">
        <v>43</v>
      </c>
      <c r="H86" t="s">
        <v>133</v>
      </c>
      <c r="I86" t="s">
        <v>141</v>
      </c>
      <c r="J86" t="s">
        <v>28</v>
      </c>
      <c r="K86">
        <f>IF(AND(API_Cosevi[[#This Row],[Rol persona]]="Motociclista", OR(API_Cosevi[[#This Row],[Dia]]="Domingo", API_Cosevi[[#This Row],[Dia]]="Sabado")), 1, 0)</f>
        <v>0</v>
      </c>
      <c r="L86">
        <f>IF(AND(API_Cosevi[[#This Row],[Rol persona]]="Motociclista", OR(API_Cosevi[[#This Row],[Edad quinquenal]]="15 A 19", API_Cosevi[[#This Row],[Edad quinquenal]]="10 A 14")), 1, 0)</f>
        <v>0</v>
      </c>
    </row>
    <row r="87" spans="1:12" x14ac:dyDescent="0.3">
      <c r="A87" t="s">
        <v>33</v>
      </c>
      <c r="B87" t="s">
        <v>34</v>
      </c>
      <c r="C87" t="s">
        <v>79</v>
      </c>
      <c r="D87">
        <v>215</v>
      </c>
      <c r="E87" t="s">
        <v>158</v>
      </c>
      <c r="F87" t="s">
        <v>35</v>
      </c>
      <c r="G87" t="s">
        <v>68</v>
      </c>
      <c r="H87" t="s">
        <v>133</v>
      </c>
      <c r="I87" t="s">
        <v>141</v>
      </c>
      <c r="J87" t="s">
        <v>68</v>
      </c>
      <c r="K87">
        <f>IF(AND(API_Cosevi[[#This Row],[Rol persona]]="Motociclista", OR(API_Cosevi[[#This Row],[Dia]]="Domingo", API_Cosevi[[#This Row],[Dia]]="Sabado")), 1, 0)</f>
        <v>0</v>
      </c>
      <c r="L87">
        <f>IF(AND(API_Cosevi[[#This Row],[Rol persona]]="Motociclista", OR(API_Cosevi[[#This Row],[Edad quinquenal]]="15 A 19", API_Cosevi[[#This Row],[Edad quinquenal]]="10 A 14")), 1, 0)</f>
        <v>0</v>
      </c>
    </row>
    <row r="88" spans="1:12" x14ac:dyDescent="0.3">
      <c r="A88" t="s">
        <v>46</v>
      </c>
      <c r="B88" t="s">
        <v>34</v>
      </c>
      <c r="C88" t="s">
        <v>80</v>
      </c>
      <c r="D88" t="s">
        <v>24</v>
      </c>
      <c r="E88" t="s">
        <v>11</v>
      </c>
      <c r="F88" t="s">
        <v>12</v>
      </c>
      <c r="G88">
        <v>24</v>
      </c>
      <c r="H88" t="s">
        <v>132</v>
      </c>
      <c r="I88" t="s">
        <v>141</v>
      </c>
      <c r="J88" t="s">
        <v>17</v>
      </c>
      <c r="K88">
        <f>IF(AND(API_Cosevi[[#This Row],[Rol persona]]="Motociclista", OR(API_Cosevi[[#This Row],[Dia]]="Domingo", API_Cosevi[[#This Row],[Dia]]="Sabado")), 1, 0)</f>
        <v>1</v>
      </c>
      <c r="L88">
        <f>IF(AND(API_Cosevi[[#This Row],[Rol persona]]="Motociclista", OR(API_Cosevi[[#This Row],[Edad quinquenal]]="15 A 19", API_Cosevi[[#This Row],[Edad quinquenal]]="10 A 14")), 1, 0)</f>
        <v>0</v>
      </c>
    </row>
    <row r="89" spans="1:12" x14ac:dyDescent="0.3">
      <c r="A89" t="s">
        <v>22</v>
      </c>
      <c r="B89" t="s">
        <v>14</v>
      </c>
      <c r="C89" t="s">
        <v>14</v>
      </c>
      <c r="D89">
        <v>160</v>
      </c>
      <c r="E89" t="s">
        <v>11</v>
      </c>
      <c r="F89" t="s">
        <v>12</v>
      </c>
      <c r="G89">
        <v>31</v>
      </c>
      <c r="H89" t="s">
        <v>138</v>
      </c>
      <c r="I89" t="s">
        <v>141</v>
      </c>
      <c r="J89" t="s">
        <v>21</v>
      </c>
      <c r="K89">
        <f>IF(AND(API_Cosevi[[#This Row],[Rol persona]]="Motociclista", OR(API_Cosevi[[#This Row],[Dia]]="Domingo", API_Cosevi[[#This Row],[Dia]]="Sabado")), 1, 0)</f>
        <v>1</v>
      </c>
      <c r="L89">
        <f>IF(AND(API_Cosevi[[#This Row],[Rol persona]]="Motociclista", OR(API_Cosevi[[#This Row],[Edad quinquenal]]="15 A 19", API_Cosevi[[#This Row],[Edad quinquenal]]="10 A 14")), 1, 0)</f>
        <v>0</v>
      </c>
    </row>
    <row r="90" spans="1:12" x14ac:dyDescent="0.3">
      <c r="A90" t="s">
        <v>46</v>
      </c>
      <c r="B90" t="s">
        <v>29</v>
      </c>
      <c r="C90" t="s">
        <v>81</v>
      </c>
      <c r="D90" t="s">
        <v>24</v>
      </c>
      <c r="E90" t="s">
        <v>11</v>
      </c>
      <c r="F90" t="s">
        <v>55</v>
      </c>
      <c r="G90">
        <v>31</v>
      </c>
      <c r="H90" t="s">
        <v>136</v>
      </c>
      <c r="I90" t="s">
        <v>141</v>
      </c>
      <c r="J90" t="s">
        <v>21</v>
      </c>
      <c r="K90">
        <f>IF(AND(API_Cosevi[[#This Row],[Rol persona]]="Motociclista", OR(API_Cosevi[[#This Row],[Dia]]="Domingo", API_Cosevi[[#This Row],[Dia]]="Sabado")), 1, 0)</f>
        <v>0</v>
      </c>
      <c r="L90">
        <f>IF(AND(API_Cosevi[[#This Row],[Rol persona]]="Motociclista", OR(API_Cosevi[[#This Row],[Edad quinquenal]]="15 A 19", API_Cosevi[[#This Row],[Edad quinquenal]]="10 A 14")), 1, 0)</f>
        <v>0</v>
      </c>
    </row>
    <row r="91" spans="1:12" x14ac:dyDescent="0.3">
      <c r="A91" t="s">
        <v>8</v>
      </c>
      <c r="B91" t="s">
        <v>9</v>
      </c>
      <c r="C91" t="s">
        <v>52</v>
      </c>
      <c r="D91">
        <v>155</v>
      </c>
      <c r="E91" t="s">
        <v>16</v>
      </c>
      <c r="F91" t="s">
        <v>12</v>
      </c>
      <c r="G91">
        <v>44</v>
      </c>
      <c r="H91" t="s">
        <v>134</v>
      </c>
      <c r="I91" t="s">
        <v>141</v>
      </c>
      <c r="J91" t="s">
        <v>28</v>
      </c>
      <c r="K91">
        <f>IF(AND(API_Cosevi[[#This Row],[Rol persona]]="Motociclista", OR(API_Cosevi[[#This Row],[Dia]]="Domingo", API_Cosevi[[#This Row],[Dia]]="Sabado")), 1, 0)</f>
        <v>0</v>
      </c>
      <c r="L91">
        <f>IF(AND(API_Cosevi[[#This Row],[Rol persona]]="Motociclista", OR(API_Cosevi[[#This Row],[Edad quinquenal]]="15 A 19", API_Cosevi[[#This Row],[Edad quinquenal]]="10 A 14")), 1, 0)</f>
        <v>0</v>
      </c>
    </row>
    <row r="92" spans="1:12" x14ac:dyDescent="0.3">
      <c r="A92" t="s">
        <v>33</v>
      </c>
      <c r="B92" t="s">
        <v>64</v>
      </c>
      <c r="C92" t="s">
        <v>70</v>
      </c>
      <c r="D92">
        <v>32</v>
      </c>
      <c r="E92" t="s">
        <v>158</v>
      </c>
      <c r="F92" t="s">
        <v>12</v>
      </c>
      <c r="G92">
        <v>36</v>
      </c>
      <c r="H92" t="s">
        <v>133</v>
      </c>
      <c r="I92" t="s">
        <v>141</v>
      </c>
      <c r="J92" t="s">
        <v>32</v>
      </c>
      <c r="K92">
        <f>IF(AND(API_Cosevi[[#This Row],[Rol persona]]="Motociclista", OR(API_Cosevi[[#This Row],[Dia]]="Domingo", API_Cosevi[[#This Row],[Dia]]="Sabado")), 1, 0)</f>
        <v>0</v>
      </c>
      <c r="L92">
        <f>IF(AND(API_Cosevi[[#This Row],[Rol persona]]="Motociclista", OR(API_Cosevi[[#This Row],[Edad quinquenal]]="15 A 19", API_Cosevi[[#This Row],[Edad quinquenal]]="10 A 14")), 1, 0)</f>
        <v>0</v>
      </c>
    </row>
    <row r="93" spans="1:12" x14ac:dyDescent="0.3">
      <c r="A93" t="s">
        <v>22</v>
      </c>
      <c r="B93" t="s">
        <v>14</v>
      </c>
      <c r="C93" t="s">
        <v>67</v>
      </c>
      <c r="D93" t="s">
        <v>24</v>
      </c>
      <c r="E93" t="s">
        <v>11</v>
      </c>
      <c r="F93" t="s">
        <v>12</v>
      </c>
      <c r="G93">
        <v>63</v>
      </c>
      <c r="H93" t="s">
        <v>133</v>
      </c>
      <c r="I93" t="s">
        <v>141</v>
      </c>
      <c r="J93" t="s">
        <v>49</v>
      </c>
      <c r="K93">
        <f>IF(AND(API_Cosevi[[#This Row],[Rol persona]]="Motociclista", OR(API_Cosevi[[#This Row],[Dia]]="Domingo", API_Cosevi[[#This Row],[Dia]]="Sabado")), 1, 0)</f>
        <v>0</v>
      </c>
      <c r="L93">
        <f>IF(AND(API_Cosevi[[#This Row],[Rol persona]]="Motociclista", OR(API_Cosevi[[#This Row],[Edad quinquenal]]="15 A 19", API_Cosevi[[#This Row],[Edad quinquenal]]="10 A 14")), 1, 0)</f>
        <v>0</v>
      </c>
    </row>
    <row r="94" spans="1:12" x14ac:dyDescent="0.3">
      <c r="A94" t="s">
        <v>8</v>
      </c>
      <c r="B94" t="s">
        <v>9</v>
      </c>
      <c r="C94" t="s">
        <v>52</v>
      </c>
      <c r="D94">
        <v>21</v>
      </c>
      <c r="E94" t="s">
        <v>11</v>
      </c>
      <c r="F94" t="s">
        <v>12</v>
      </c>
      <c r="G94">
        <v>46</v>
      </c>
      <c r="H94" t="s">
        <v>133</v>
      </c>
      <c r="I94" t="s">
        <v>141</v>
      </c>
      <c r="J94" t="s">
        <v>19</v>
      </c>
      <c r="K94">
        <f>IF(AND(API_Cosevi[[#This Row],[Rol persona]]="Motociclista", OR(API_Cosevi[[#This Row],[Dia]]="Domingo", API_Cosevi[[#This Row],[Dia]]="Sabado")), 1, 0)</f>
        <v>0</v>
      </c>
      <c r="L94">
        <f>IF(AND(API_Cosevi[[#This Row],[Rol persona]]="Motociclista", OR(API_Cosevi[[#This Row],[Edad quinquenal]]="15 A 19", API_Cosevi[[#This Row],[Edad quinquenal]]="10 A 14")), 1, 0)</f>
        <v>0</v>
      </c>
    </row>
    <row r="95" spans="1:12" x14ac:dyDescent="0.3">
      <c r="A95" t="s">
        <v>22</v>
      </c>
      <c r="B95" t="s">
        <v>34</v>
      </c>
      <c r="C95" t="s">
        <v>78</v>
      </c>
      <c r="D95">
        <v>27</v>
      </c>
      <c r="E95" t="s">
        <v>25</v>
      </c>
      <c r="F95" t="s">
        <v>12</v>
      </c>
      <c r="G95">
        <v>26</v>
      </c>
      <c r="H95" t="s">
        <v>132</v>
      </c>
      <c r="I95" t="s">
        <v>141</v>
      </c>
      <c r="J95" t="s">
        <v>13</v>
      </c>
      <c r="K95">
        <f>IF(AND(API_Cosevi[[#This Row],[Rol persona]]="Motociclista", OR(API_Cosevi[[#This Row],[Dia]]="Domingo", API_Cosevi[[#This Row],[Dia]]="Sabado")), 1, 0)</f>
        <v>0</v>
      </c>
      <c r="L95">
        <f>IF(AND(API_Cosevi[[#This Row],[Rol persona]]="Motociclista", OR(API_Cosevi[[#This Row],[Edad quinquenal]]="15 A 19", API_Cosevi[[#This Row],[Edad quinquenal]]="10 A 14")), 1, 0)</f>
        <v>0</v>
      </c>
    </row>
    <row r="96" spans="1:12" x14ac:dyDescent="0.3">
      <c r="A96" t="s">
        <v>46</v>
      </c>
      <c r="B96" t="s">
        <v>34</v>
      </c>
      <c r="C96" t="s">
        <v>78</v>
      </c>
      <c r="D96">
        <v>121</v>
      </c>
      <c r="E96" t="s">
        <v>11</v>
      </c>
      <c r="F96" t="s">
        <v>12</v>
      </c>
      <c r="G96">
        <v>24</v>
      </c>
      <c r="H96" t="s">
        <v>132</v>
      </c>
      <c r="I96" t="s">
        <v>141</v>
      </c>
      <c r="J96" t="s">
        <v>17</v>
      </c>
      <c r="K96">
        <f>IF(AND(API_Cosevi[[#This Row],[Rol persona]]="Motociclista", OR(API_Cosevi[[#This Row],[Dia]]="Domingo", API_Cosevi[[#This Row],[Dia]]="Sabado")), 1, 0)</f>
        <v>1</v>
      </c>
      <c r="L96">
        <f>IF(AND(API_Cosevi[[#This Row],[Rol persona]]="Motociclista", OR(API_Cosevi[[#This Row],[Edad quinquenal]]="15 A 19", API_Cosevi[[#This Row],[Edad quinquenal]]="10 A 14")), 1, 0)</f>
        <v>0</v>
      </c>
    </row>
    <row r="97" spans="1:12" x14ac:dyDescent="0.3">
      <c r="A97" t="s">
        <v>8</v>
      </c>
      <c r="B97" t="s">
        <v>40</v>
      </c>
      <c r="C97" t="s">
        <v>40</v>
      </c>
      <c r="D97" t="s">
        <v>24</v>
      </c>
      <c r="E97" t="s">
        <v>82</v>
      </c>
      <c r="F97" t="s">
        <v>35</v>
      </c>
      <c r="G97">
        <v>31</v>
      </c>
      <c r="H97" t="s">
        <v>132</v>
      </c>
      <c r="I97" t="s">
        <v>141</v>
      </c>
      <c r="J97" t="s">
        <v>21</v>
      </c>
      <c r="K97">
        <f>IF(AND(API_Cosevi[[#This Row],[Rol persona]]="Motociclista", OR(API_Cosevi[[#This Row],[Dia]]="Domingo", API_Cosevi[[#This Row],[Dia]]="Sabado")), 1, 0)</f>
        <v>0</v>
      </c>
      <c r="L97">
        <f>IF(AND(API_Cosevi[[#This Row],[Rol persona]]="Motociclista", OR(API_Cosevi[[#This Row],[Edad quinquenal]]="15 A 19", API_Cosevi[[#This Row],[Edad quinquenal]]="10 A 14")), 1, 0)</f>
        <v>0</v>
      </c>
    </row>
    <row r="98" spans="1:12" x14ac:dyDescent="0.3">
      <c r="A98" t="s">
        <v>46</v>
      </c>
      <c r="B98" t="s">
        <v>29</v>
      </c>
      <c r="C98" t="s">
        <v>83</v>
      </c>
      <c r="D98" t="s">
        <v>24</v>
      </c>
      <c r="E98" t="s">
        <v>11</v>
      </c>
      <c r="F98" t="s">
        <v>12</v>
      </c>
      <c r="G98">
        <v>24</v>
      </c>
      <c r="H98" t="s">
        <v>132</v>
      </c>
      <c r="I98" t="s">
        <v>141</v>
      </c>
      <c r="J98" t="s">
        <v>17</v>
      </c>
      <c r="K98">
        <f>IF(AND(API_Cosevi[[#This Row],[Rol persona]]="Motociclista", OR(API_Cosevi[[#This Row],[Dia]]="Domingo", API_Cosevi[[#This Row],[Dia]]="Sabado")), 1, 0)</f>
        <v>1</v>
      </c>
      <c r="L98">
        <f>IF(AND(API_Cosevi[[#This Row],[Rol persona]]="Motociclista", OR(API_Cosevi[[#This Row],[Edad quinquenal]]="15 A 19", API_Cosevi[[#This Row],[Edad quinquenal]]="10 A 14")), 1, 0)</f>
        <v>0</v>
      </c>
    </row>
    <row r="99" spans="1:12" x14ac:dyDescent="0.3">
      <c r="A99" t="s">
        <v>46</v>
      </c>
      <c r="B99" t="s">
        <v>29</v>
      </c>
      <c r="C99" t="s">
        <v>83</v>
      </c>
      <c r="D99" t="s">
        <v>24</v>
      </c>
      <c r="E99" t="s">
        <v>62</v>
      </c>
      <c r="F99" t="s">
        <v>12</v>
      </c>
      <c r="G99">
        <v>21</v>
      </c>
      <c r="H99" t="s">
        <v>132</v>
      </c>
      <c r="I99" t="s">
        <v>141</v>
      </c>
      <c r="J99" t="s">
        <v>17</v>
      </c>
      <c r="K99">
        <f>IF(AND(API_Cosevi[[#This Row],[Rol persona]]="Motociclista", OR(API_Cosevi[[#This Row],[Dia]]="Domingo", API_Cosevi[[#This Row],[Dia]]="Sabado")), 1, 0)</f>
        <v>0</v>
      </c>
      <c r="L99">
        <f>IF(AND(API_Cosevi[[#This Row],[Rol persona]]="Motociclista", OR(API_Cosevi[[#This Row],[Edad quinquenal]]="15 A 19", API_Cosevi[[#This Row],[Edad quinquenal]]="10 A 14")), 1, 0)</f>
        <v>0</v>
      </c>
    </row>
    <row r="100" spans="1:12" x14ac:dyDescent="0.3">
      <c r="A100" t="s">
        <v>22</v>
      </c>
      <c r="B100" t="s">
        <v>34</v>
      </c>
      <c r="C100" t="s">
        <v>84</v>
      </c>
      <c r="D100">
        <v>2</v>
      </c>
      <c r="E100" t="s">
        <v>11</v>
      </c>
      <c r="F100" t="s">
        <v>12</v>
      </c>
      <c r="G100">
        <v>40</v>
      </c>
      <c r="H100" t="s">
        <v>132</v>
      </c>
      <c r="I100" t="s">
        <v>141</v>
      </c>
      <c r="J100" t="s">
        <v>28</v>
      </c>
      <c r="K100">
        <f>IF(AND(API_Cosevi[[#This Row],[Rol persona]]="Motociclista", OR(API_Cosevi[[#This Row],[Dia]]="Domingo", API_Cosevi[[#This Row],[Dia]]="Sabado")), 1, 0)</f>
        <v>1</v>
      </c>
      <c r="L100">
        <f>IF(AND(API_Cosevi[[#This Row],[Rol persona]]="Motociclista", OR(API_Cosevi[[#This Row],[Edad quinquenal]]="15 A 19", API_Cosevi[[#This Row],[Edad quinquenal]]="10 A 14")), 1, 0)</f>
        <v>0</v>
      </c>
    </row>
    <row r="101" spans="1:12" x14ac:dyDescent="0.3">
      <c r="A101" t="s">
        <v>8</v>
      </c>
      <c r="B101" t="s">
        <v>14</v>
      </c>
      <c r="C101" t="s">
        <v>18</v>
      </c>
      <c r="D101">
        <v>34</v>
      </c>
      <c r="E101" t="s">
        <v>11</v>
      </c>
      <c r="F101" t="s">
        <v>12</v>
      </c>
      <c r="G101">
        <v>32</v>
      </c>
      <c r="H101" t="s">
        <v>138</v>
      </c>
      <c r="I101" t="s">
        <v>141</v>
      </c>
      <c r="J101" t="s">
        <v>21</v>
      </c>
      <c r="K101">
        <f>IF(AND(API_Cosevi[[#This Row],[Rol persona]]="Motociclista", OR(API_Cosevi[[#This Row],[Dia]]="Domingo", API_Cosevi[[#This Row],[Dia]]="Sabado")), 1, 0)</f>
        <v>1</v>
      </c>
      <c r="L101">
        <f>IF(AND(API_Cosevi[[#This Row],[Rol persona]]="Motociclista", OR(API_Cosevi[[#This Row],[Edad quinquenal]]="15 A 19", API_Cosevi[[#This Row],[Edad quinquenal]]="10 A 14")), 1, 0)</f>
        <v>0</v>
      </c>
    </row>
    <row r="102" spans="1:12" x14ac:dyDescent="0.3">
      <c r="A102" t="s">
        <v>33</v>
      </c>
      <c r="B102" t="s">
        <v>34</v>
      </c>
      <c r="C102" t="s">
        <v>85</v>
      </c>
      <c r="D102">
        <v>209</v>
      </c>
      <c r="E102" t="s">
        <v>158</v>
      </c>
      <c r="F102" t="s">
        <v>12</v>
      </c>
      <c r="G102">
        <v>42</v>
      </c>
      <c r="H102" t="s">
        <v>136</v>
      </c>
      <c r="I102" t="s">
        <v>141</v>
      </c>
      <c r="J102" t="s">
        <v>28</v>
      </c>
      <c r="K102">
        <f>IF(AND(API_Cosevi[[#This Row],[Rol persona]]="Motociclista", OR(API_Cosevi[[#This Row],[Dia]]="Domingo", API_Cosevi[[#This Row],[Dia]]="Sabado")), 1, 0)</f>
        <v>0</v>
      </c>
      <c r="L102">
        <f>IF(AND(API_Cosevi[[#This Row],[Rol persona]]="Motociclista", OR(API_Cosevi[[#This Row],[Edad quinquenal]]="15 A 19", API_Cosevi[[#This Row],[Edad quinquenal]]="10 A 14")), 1, 0)</f>
        <v>0</v>
      </c>
    </row>
    <row r="103" spans="1:12" x14ac:dyDescent="0.3">
      <c r="A103" t="s">
        <v>8</v>
      </c>
      <c r="B103" t="s">
        <v>14</v>
      </c>
      <c r="C103" t="s">
        <v>66</v>
      </c>
      <c r="D103">
        <v>14</v>
      </c>
      <c r="E103" t="s">
        <v>11</v>
      </c>
      <c r="F103" t="s">
        <v>12</v>
      </c>
      <c r="G103">
        <v>36</v>
      </c>
      <c r="H103" t="s">
        <v>136</v>
      </c>
      <c r="I103" t="s">
        <v>141</v>
      </c>
      <c r="J103" t="s">
        <v>32</v>
      </c>
      <c r="K103">
        <f>IF(AND(API_Cosevi[[#This Row],[Rol persona]]="Motociclista", OR(API_Cosevi[[#This Row],[Dia]]="Domingo", API_Cosevi[[#This Row],[Dia]]="Sabado")), 1, 0)</f>
        <v>0</v>
      </c>
      <c r="L103">
        <f>IF(AND(API_Cosevi[[#This Row],[Rol persona]]="Motociclista", OR(API_Cosevi[[#This Row],[Edad quinquenal]]="15 A 19", API_Cosevi[[#This Row],[Edad quinquenal]]="10 A 14")), 1, 0)</f>
        <v>0</v>
      </c>
    </row>
    <row r="104" spans="1:12" x14ac:dyDescent="0.3">
      <c r="A104" t="s">
        <v>33</v>
      </c>
      <c r="B104" t="s">
        <v>34</v>
      </c>
      <c r="C104" t="s">
        <v>34</v>
      </c>
      <c r="D104" t="s">
        <v>24</v>
      </c>
      <c r="E104" t="s">
        <v>158</v>
      </c>
      <c r="F104" t="s">
        <v>12</v>
      </c>
      <c r="G104">
        <v>21</v>
      </c>
      <c r="H104" t="s">
        <v>135</v>
      </c>
      <c r="I104" t="s">
        <v>141</v>
      </c>
      <c r="J104" t="s">
        <v>17</v>
      </c>
      <c r="K104">
        <f>IF(AND(API_Cosevi[[#This Row],[Rol persona]]="Motociclista", OR(API_Cosevi[[#This Row],[Dia]]="Domingo", API_Cosevi[[#This Row],[Dia]]="Sabado")), 1, 0)</f>
        <v>0</v>
      </c>
      <c r="L104">
        <f>IF(AND(API_Cosevi[[#This Row],[Rol persona]]="Motociclista", OR(API_Cosevi[[#This Row],[Edad quinquenal]]="15 A 19", API_Cosevi[[#This Row],[Edad quinquenal]]="10 A 14")), 1, 0)</f>
        <v>0</v>
      </c>
    </row>
    <row r="105" spans="1:12" x14ac:dyDescent="0.3">
      <c r="A105" t="s">
        <v>38</v>
      </c>
      <c r="B105" t="s">
        <v>53</v>
      </c>
      <c r="C105" t="s">
        <v>86</v>
      </c>
      <c r="D105" t="s">
        <v>24</v>
      </c>
      <c r="E105" t="s">
        <v>39</v>
      </c>
      <c r="F105" t="s">
        <v>12</v>
      </c>
      <c r="G105">
        <v>29</v>
      </c>
      <c r="H105" t="s">
        <v>132</v>
      </c>
      <c r="I105" t="s">
        <v>141</v>
      </c>
      <c r="J105" t="s">
        <v>13</v>
      </c>
      <c r="K105">
        <f>IF(AND(API_Cosevi[[#This Row],[Rol persona]]="Motociclista", OR(API_Cosevi[[#This Row],[Dia]]="Domingo", API_Cosevi[[#This Row],[Dia]]="Sabado")), 1, 0)</f>
        <v>0</v>
      </c>
      <c r="L105">
        <f>IF(AND(API_Cosevi[[#This Row],[Rol persona]]="Motociclista", OR(API_Cosevi[[#This Row],[Edad quinquenal]]="15 A 19", API_Cosevi[[#This Row],[Edad quinquenal]]="10 A 14")), 1, 0)</f>
        <v>0</v>
      </c>
    </row>
    <row r="106" spans="1:12" x14ac:dyDescent="0.3">
      <c r="A106" t="s">
        <v>22</v>
      </c>
      <c r="B106" t="s">
        <v>9</v>
      </c>
      <c r="C106" t="s">
        <v>23</v>
      </c>
      <c r="D106">
        <v>150</v>
      </c>
      <c r="E106" t="s">
        <v>25</v>
      </c>
      <c r="F106" t="s">
        <v>12</v>
      </c>
      <c r="G106">
        <v>24</v>
      </c>
      <c r="H106" t="s">
        <v>133</v>
      </c>
      <c r="I106" t="s">
        <v>141</v>
      </c>
      <c r="J106" t="s">
        <v>17</v>
      </c>
      <c r="K106">
        <f>IF(AND(API_Cosevi[[#This Row],[Rol persona]]="Motociclista", OR(API_Cosevi[[#This Row],[Dia]]="Domingo", API_Cosevi[[#This Row],[Dia]]="Sabado")), 1, 0)</f>
        <v>0</v>
      </c>
      <c r="L106">
        <f>IF(AND(API_Cosevi[[#This Row],[Rol persona]]="Motociclista", OR(API_Cosevi[[#This Row],[Edad quinquenal]]="15 A 19", API_Cosevi[[#This Row],[Edad quinquenal]]="10 A 14")), 1, 0)</f>
        <v>0</v>
      </c>
    </row>
    <row r="107" spans="1:12" x14ac:dyDescent="0.3">
      <c r="A107" t="s">
        <v>38</v>
      </c>
      <c r="B107" t="s">
        <v>53</v>
      </c>
      <c r="C107" t="s">
        <v>86</v>
      </c>
      <c r="D107">
        <v>4</v>
      </c>
      <c r="E107" t="s">
        <v>39</v>
      </c>
      <c r="F107" t="s">
        <v>12</v>
      </c>
      <c r="G107">
        <v>30</v>
      </c>
      <c r="H107" t="s">
        <v>133</v>
      </c>
      <c r="I107" t="s">
        <v>141</v>
      </c>
      <c r="J107" t="s">
        <v>21</v>
      </c>
      <c r="K107">
        <f>IF(AND(API_Cosevi[[#This Row],[Rol persona]]="Motociclista", OR(API_Cosevi[[#This Row],[Dia]]="Domingo", API_Cosevi[[#This Row],[Dia]]="Sabado")), 1, 0)</f>
        <v>0</v>
      </c>
      <c r="L107">
        <f>IF(AND(API_Cosevi[[#This Row],[Rol persona]]="Motociclista", OR(API_Cosevi[[#This Row],[Edad quinquenal]]="15 A 19", API_Cosevi[[#This Row],[Edad quinquenal]]="10 A 14")), 1, 0)</f>
        <v>0</v>
      </c>
    </row>
    <row r="108" spans="1:12" x14ac:dyDescent="0.3">
      <c r="A108" t="s">
        <v>46</v>
      </c>
      <c r="B108" t="s">
        <v>64</v>
      </c>
      <c r="C108" t="s">
        <v>70</v>
      </c>
      <c r="D108">
        <v>32</v>
      </c>
      <c r="E108" t="s">
        <v>25</v>
      </c>
      <c r="F108" t="s">
        <v>12</v>
      </c>
      <c r="G108">
        <v>46</v>
      </c>
      <c r="H108" t="s">
        <v>132</v>
      </c>
      <c r="I108" t="s">
        <v>141</v>
      </c>
      <c r="J108" t="s">
        <v>19</v>
      </c>
      <c r="K108">
        <f>IF(AND(API_Cosevi[[#This Row],[Rol persona]]="Motociclista", OR(API_Cosevi[[#This Row],[Dia]]="Domingo", API_Cosevi[[#This Row],[Dia]]="Sabado")), 1, 0)</f>
        <v>0</v>
      </c>
      <c r="L108">
        <f>IF(AND(API_Cosevi[[#This Row],[Rol persona]]="Motociclista", OR(API_Cosevi[[#This Row],[Edad quinquenal]]="15 A 19", API_Cosevi[[#This Row],[Edad quinquenal]]="10 A 14")), 1, 0)</f>
        <v>0</v>
      </c>
    </row>
    <row r="109" spans="1:12" x14ac:dyDescent="0.3">
      <c r="A109" t="s">
        <v>22</v>
      </c>
      <c r="B109" t="s">
        <v>34</v>
      </c>
      <c r="C109" t="s">
        <v>84</v>
      </c>
      <c r="D109">
        <v>2</v>
      </c>
      <c r="E109" t="s">
        <v>25</v>
      </c>
      <c r="F109" t="s">
        <v>12</v>
      </c>
      <c r="G109">
        <v>78</v>
      </c>
      <c r="H109" t="s">
        <v>138</v>
      </c>
      <c r="I109" t="s">
        <v>141</v>
      </c>
      <c r="J109" t="s">
        <v>42</v>
      </c>
      <c r="K109">
        <f>IF(AND(API_Cosevi[[#This Row],[Rol persona]]="Motociclista", OR(API_Cosevi[[#This Row],[Dia]]="Domingo", API_Cosevi[[#This Row],[Dia]]="Sabado")), 1, 0)</f>
        <v>0</v>
      </c>
      <c r="L109">
        <f>IF(AND(API_Cosevi[[#This Row],[Rol persona]]="Motociclista", OR(API_Cosevi[[#This Row],[Edad quinquenal]]="15 A 19", API_Cosevi[[#This Row],[Edad quinquenal]]="10 A 14")), 1, 0)</f>
        <v>0</v>
      </c>
    </row>
    <row r="110" spans="1:12" x14ac:dyDescent="0.3">
      <c r="A110" t="s">
        <v>87</v>
      </c>
      <c r="B110" t="s">
        <v>29</v>
      </c>
      <c r="C110" t="s">
        <v>48</v>
      </c>
      <c r="D110" t="s">
        <v>24</v>
      </c>
      <c r="E110" t="s">
        <v>25</v>
      </c>
      <c r="F110" t="s">
        <v>12</v>
      </c>
      <c r="G110">
        <v>28</v>
      </c>
      <c r="H110" t="s">
        <v>137</v>
      </c>
      <c r="I110" t="s">
        <v>141</v>
      </c>
      <c r="J110" t="s">
        <v>13</v>
      </c>
      <c r="K110">
        <f>IF(AND(API_Cosevi[[#This Row],[Rol persona]]="Motociclista", OR(API_Cosevi[[#This Row],[Dia]]="Domingo", API_Cosevi[[#This Row],[Dia]]="Sabado")), 1, 0)</f>
        <v>0</v>
      </c>
      <c r="L110">
        <f>IF(AND(API_Cosevi[[#This Row],[Rol persona]]="Motociclista", OR(API_Cosevi[[#This Row],[Edad quinquenal]]="15 A 19", API_Cosevi[[#This Row],[Edad quinquenal]]="10 A 14")), 1, 0)</f>
        <v>0</v>
      </c>
    </row>
    <row r="111" spans="1:12" x14ac:dyDescent="0.3">
      <c r="A111" t="s">
        <v>38</v>
      </c>
      <c r="B111" t="s">
        <v>34</v>
      </c>
      <c r="C111" t="s">
        <v>34</v>
      </c>
      <c r="D111" t="s">
        <v>24</v>
      </c>
      <c r="E111" t="s">
        <v>39</v>
      </c>
      <c r="F111" t="s">
        <v>12</v>
      </c>
      <c r="G111">
        <v>27</v>
      </c>
      <c r="H111" t="s">
        <v>135</v>
      </c>
      <c r="I111" t="s">
        <v>141</v>
      </c>
      <c r="J111" t="s">
        <v>13</v>
      </c>
      <c r="K111">
        <f>IF(AND(API_Cosevi[[#This Row],[Rol persona]]="Motociclista", OR(API_Cosevi[[#This Row],[Dia]]="Domingo", API_Cosevi[[#This Row],[Dia]]="Sabado")), 1, 0)</f>
        <v>0</v>
      </c>
      <c r="L111">
        <f>IF(AND(API_Cosevi[[#This Row],[Rol persona]]="Motociclista", OR(API_Cosevi[[#This Row],[Edad quinquenal]]="15 A 19", API_Cosevi[[#This Row],[Edad quinquenal]]="10 A 14")), 1, 0)</f>
        <v>0</v>
      </c>
    </row>
    <row r="112" spans="1:12" x14ac:dyDescent="0.3">
      <c r="A112" t="s">
        <v>8</v>
      </c>
      <c r="B112" t="s">
        <v>14</v>
      </c>
      <c r="C112" t="s">
        <v>88</v>
      </c>
      <c r="D112">
        <v>2</v>
      </c>
      <c r="E112" t="s">
        <v>11</v>
      </c>
      <c r="F112" t="s">
        <v>35</v>
      </c>
      <c r="G112">
        <v>32</v>
      </c>
      <c r="H112" t="s">
        <v>133</v>
      </c>
      <c r="I112" t="s">
        <v>141</v>
      </c>
      <c r="J112" t="s">
        <v>21</v>
      </c>
      <c r="K112">
        <f>IF(AND(API_Cosevi[[#This Row],[Rol persona]]="Motociclista", OR(API_Cosevi[[#This Row],[Dia]]="Domingo", API_Cosevi[[#This Row],[Dia]]="Sabado")), 1, 0)</f>
        <v>0</v>
      </c>
      <c r="L112">
        <f>IF(AND(API_Cosevi[[#This Row],[Rol persona]]="Motociclista", OR(API_Cosevi[[#This Row],[Edad quinquenal]]="15 A 19", API_Cosevi[[#This Row],[Edad quinquenal]]="10 A 14")), 1, 0)</f>
        <v>0</v>
      </c>
    </row>
    <row r="113" spans="1:12" x14ac:dyDescent="0.3">
      <c r="A113" t="s">
        <v>8</v>
      </c>
      <c r="B113" t="s">
        <v>14</v>
      </c>
      <c r="C113" t="s">
        <v>88</v>
      </c>
      <c r="D113">
        <v>2</v>
      </c>
      <c r="E113" t="s">
        <v>62</v>
      </c>
      <c r="F113" t="s">
        <v>12</v>
      </c>
      <c r="G113">
        <v>26</v>
      </c>
      <c r="H113" t="s">
        <v>133</v>
      </c>
      <c r="I113" t="s">
        <v>141</v>
      </c>
      <c r="J113" t="s">
        <v>13</v>
      </c>
      <c r="K113">
        <f>IF(AND(API_Cosevi[[#This Row],[Rol persona]]="Motociclista", OR(API_Cosevi[[#This Row],[Dia]]="Domingo", API_Cosevi[[#This Row],[Dia]]="Sabado")), 1, 0)</f>
        <v>0</v>
      </c>
      <c r="L113">
        <f>IF(AND(API_Cosevi[[#This Row],[Rol persona]]="Motociclista", OR(API_Cosevi[[#This Row],[Edad quinquenal]]="15 A 19", API_Cosevi[[#This Row],[Edad quinquenal]]="10 A 14")), 1, 0)</f>
        <v>0</v>
      </c>
    </row>
    <row r="114" spans="1:12" x14ac:dyDescent="0.3">
      <c r="A114" t="s">
        <v>22</v>
      </c>
      <c r="B114" t="s">
        <v>9</v>
      </c>
      <c r="C114" t="s">
        <v>89</v>
      </c>
      <c r="D114">
        <v>1</v>
      </c>
      <c r="E114" t="s">
        <v>16</v>
      </c>
      <c r="F114" t="s">
        <v>12</v>
      </c>
      <c r="G114">
        <v>34</v>
      </c>
      <c r="H114" t="s">
        <v>133</v>
      </c>
      <c r="I114" t="s">
        <v>141</v>
      </c>
      <c r="J114" t="s">
        <v>21</v>
      </c>
      <c r="K114">
        <f>IF(AND(API_Cosevi[[#This Row],[Rol persona]]="Motociclista", OR(API_Cosevi[[#This Row],[Dia]]="Domingo", API_Cosevi[[#This Row],[Dia]]="Sabado")), 1, 0)</f>
        <v>0</v>
      </c>
      <c r="L114">
        <f>IF(AND(API_Cosevi[[#This Row],[Rol persona]]="Motociclista", OR(API_Cosevi[[#This Row],[Edad quinquenal]]="15 A 19", API_Cosevi[[#This Row],[Edad quinquenal]]="10 A 14")), 1, 0)</f>
        <v>0</v>
      </c>
    </row>
    <row r="115" spans="1:12" x14ac:dyDescent="0.3">
      <c r="A115" t="s">
        <v>8</v>
      </c>
      <c r="B115" t="s">
        <v>14</v>
      </c>
      <c r="C115" t="s">
        <v>90</v>
      </c>
      <c r="D115">
        <v>1</v>
      </c>
      <c r="E115" t="s">
        <v>16</v>
      </c>
      <c r="F115" t="s">
        <v>12</v>
      </c>
      <c r="G115">
        <v>40</v>
      </c>
      <c r="H115" t="s">
        <v>132</v>
      </c>
      <c r="I115" t="s">
        <v>141</v>
      </c>
      <c r="J115" t="s">
        <v>28</v>
      </c>
      <c r="K115">
        <f>IF(AND(API_Cosevi[[#This Row],[Rol persona]]="Motociclista", OR(API_Cosevi[[#This Row],[Dia]]="Domingo", API_Cosevi[[#This Row],[Dia]]="Sabado")), 1, 0)</f>
        <v>0</v>
      </c>
      <c r="L115">
        <f>IF(AND(API_Cosevi[[#This Row],[Rol persona]]="Motociclista", OR(API_Cosevi[[#This Row],[Edad quinquenal]]="15 A 19", API_Cosevi[[#This Row],[Edad quinquenal]]="10 A 14")), 1, 0)</f>
        <v>0</v>
      </c>
    </row>
    <row r="116" spans="1:12" x14ac:dyDescent="0.3">
      <c r="A116" t="s">
        <v>91</v>
      </c>
      <c r="B116" t="s">
        <v>40</v>
      </c>
      <c r="C116" t="s">
        <v>86</v>
      </c>
      <c r="D116">
        <v>4</v>
      </c>
      <c r="E116" t="s">
        <v>11</v>
      </c>
      <c r="F116" t="s">
        <v>12</v>
      </c>
      <c r="G116">
        <v>39</v>
      </c>
      <c r="H116" t="s">
        <v>132</v>
      </c>
      <c r="I116" t="s">
        <v>141</v>
      </c>
      <c r="J116" t="s">
        <v>32</v>
      </c>
      <c r="K116">
        <f>IF(AND(API_Cosevi[[#This Row],[Rol persona]]="Motociclista", OR(API_Cosevi[[#This Row],[Dia]]="Domingo", API_Cosevi[[#This Row],[Dia]]="Sabado")), 1, 0)</f>
        <v>1</v>
      </c>
      <c r="L116">
        <f>IF(AND(API_Cosevi[[#This Row],[Rol persona]]="Motociclista", OR(API_Cosevi[[#This Row],[Edad quinquenal]]="15 A 19", API_Cosevi[[#This Row],[Edad quinquenal]]="10 A 14")), 1, 0)</f>
        <v>0</v>
      </c>
    </row>
    <row r="117" spans="1:12" x14ac:dyDescent="0.3">
      <c r="A117" t="s">
        <v>87</v>
      </c>
      <c r="B117" t="s">
        <v>9</v>
      </c>
      <c r="C117" t="s">
        <v>63</v>
      </c>
      <c r="D117">
        <v>21</v>
      </c>
      <c r="E117" t="s">
        <v>25</v>
      </c>
      <c r="F117" t="s">
        <v>35</v>
      </c>
      <c r="G117">
        <v>24</v>
      </c>
      <c r="H117" t="s">
        <v>132</v>
      </c>
      <c r="I117" t="s">
        <v>141</v>
      </c>
      <c r="J117" t="s">
        <v>17</v>
      </c>
      <c r="K117">
        <f>IF(AND(API_Cosevi[[#This Row],[Rol persona]]="Motociclista", OR(API_Cosevi[[#This Row],[Dia]]="Domingo", API_Cosevi[[#This Row],[Dia]]="Sabado")), 1, 0)</f>
        <v>0</v>
      </c>
      <c r="L117">
        <f>IF(AND(API_Cosevi[[#This Row],[Rol persona]]="Motociclista", OR(API_Cosevi[[#This Row],[Edad quinquenal]]="15 A 19", API_Cosevi[[#This Row],[Edad quinquenal]]="10 A 14")), 1, 0)</f>
        <v>0</v>
      </c>
    </row>
    <row r="118" spans="1:12" x14ac:dyDescent="0.3">
      <c r="A118" t="s">
        <v>8</v>
      </c>
      <c r="B118" t="s">
        <v>29</v>
      </c>
      <c r="C118" t="s">
        <v>92</v>
      </c>
      <c r="D118">
        <v>141</v>
      </c>
      <c r="E118" t="s">
        <v>11</v>
      </c>
      <c r="F118" t="s">
        <v>12</v>
      </c>
      <c r="G118">
        <v>32</v>
      </c>
      <c r="H118" t="s">
        <v>138</v>
      </c>
      <c r="I118" t="s">
        <v>141</v>
      </c>
      <c r="J118" t="s">
        <v>21</v>
      </c>
      <c r="K118">
        <f>IF(AND(API_Cosevi[[#This Row],[Rol persona]]="Motociclista", OR(API_Cosevi[[#This Row],[Dia]]="Domingo", API_Cosevi[[#This Row],[Dia]]="Sabado")), 1, 0)</f>
        <v>1</v>
      </c>
      <c r="L118">
        <f>IF(AND(API_Cosevi[[#This Row],[Rol persona]]="Motociclista", OR(API_Cosevi[[#This Row],[Edad quinquenal]]="15 A 19", API_Cosevi[[#This Row],[Edad quinquenal]]="10 A 14")), 1, 0)</f>
        <v>0</v>
      </c>
    </row>
    <row r="119" spans="1:12" x14ac:dyDescent="0.3">
      <c r="A119" t="s">
        <v>87</v>
      </c>
      <c r="B119" t="s">
        <v>34</v>
      </c>
      <c r="C119" t="s">
        <v>84</v>
      </c>
      <c r="D119" t="s">
        <v>24</v>
      </c>
      <c r="E119" t="s">
        <v>25</v>
      </c>
      <c r="F119" t="s">
        <v>12</v>
      </c>
      <c r="G119">
        <v>48</v>
      </c>
      <c r="H119" t="s">
        <v>135</v>
      </c>
      <c r="I119" t="s">
        <v>142</v>
      </c>
      <c r="J119" t="s">
        <v>19</v>
      </c>
      <c r="K119">
        <f>IF(AND(API_Cosevi[[#This Row],[Rol persona]]="Motociclista", OR(API_Cosevi[[#This Row],[Dia]]="Domingo", API_Cosevi[[#This Row],[Dia]]="Sabado")), 1, 0)</f>
        <v>0</v>
      </c>
      <c r="L119">
        <f>IF(AND(API_Cosevi[[#This Row],[Rol persona]]="Motociclista", OR(API_Cosevi[[#This Row],[Edad quinquenal]]="15 A 19", API_Cosevi[[#This Row],[Edad quinquenal]]="10 A 14")), 1, 0)</f>
        <v>0</v>
      </c>
    </row>
    <row r="120" spans="1:12" x14ac:dyDescent="0.3">
      <c r="A120" t="s">
        <v>56</v>
      </c>
      <c r="B120" t="s">
        <v>64</v>
      </c>
      <c r="C120" t="s">
        <v>70</v>
      </c>
      <c r="D120">
        <v>247</v>
      </c>
      <c r="E120" t="s">
        <v>158</v>
      </c>
      <c r="F120" t="s">
        <v>12</v>
      </c>
      <c r="G120">
        <v>43</v>
      </c>
      <c r="H120" t="s">
        <v>134</v>
      </c>
      <c r="I120" t="s">
        <v>142</v>
      </c>
      <c r="J120" t="s">
        <v>28</v>
      </c>
      <c r="K120">
        <f>IF(AND(API_Cosevi[[#This Row],[Rol persona]]="Motociclista", OR(API_Cosevi[[#This Row],[Dia]]="Domingo", API_Cosevi[[#This Row],[Dia]]="Sabado")), 1, 0)</f>
        <v>0</v>
      </c>
      <c r="L120">
        <f>IF(AND(API_Cosevi[[#This Row],[Rol persona]]="Motociclista", OR(API_Cosevi[[#This Row],[Edad quinquenal]]="15 A 19", API_Cosevi[[#This Row],[Edad quinquenal]]="10 A 14")), 1, 0)</f>
        <v>0</v>
      </c>
    </row>
    <row r="121" spans="1:12" x14ac:dyDescent="0.3">
      <c r="A121" t="s">
        <v>87</v>
      </c>
      <c r="B121" t="s">
        <v>29</v>
      </c>
      <c r="C121" t="s">
        <v>93</v>
      </c>
      <c r="D121">
        <v>702</v>
      </c>
      <c r="E121" t="s">
        <v>16</v>
      </c>
      <c r="F121" t="s">
        <v>12</v>
      </c>
      <c r="G121">
        <v>73</v>
      </c>
      <c r="H121" t="s">
        <v>133</v>
      </c>
      <c r="I121" t="s">
        <v>142</v>
      </c>
      <c r="J121" t="s">
        <v>94</v>
      </c>
      <c r="K121">
        <f>IF(AND(API_Cosevi[[#This Row],[Rol persona]]="Motociclista", OR(API_Cosevi[[#This Row],[Dia]]="Domingo", API_Cosevi[[#This Row],[Dia]]="Sabado")), 1, 0)</f>
        <v>0</v>
      </c>
      <c r="L121">
        <f>IF(AND(API_Cosevi[[#This Row],[Rol persona]]="Motociclista", OR(API_Cosevi[[#This Row],[Edad quinquenal]]="15 A 19", API_Cosevi[[#This Row],[Edad quinquenal]]="10 A 14")), 1, 0)</f>
        <v>0</v>
      </c>
    </row>
    <row r="122" spans="1:12" x14ac:dyDescent="0.3">
      <c r="A122" t="s">
        <v>8</v>
      </c>
      <c r="B122" t="s">
        <v>64</v>
      </c>
      <c r="C122" t="s">
        <v>70</v>
      </c>
      <c r="D122">
        <v>32</v>
      </c>
      <c r="E122" t="s">
        <v>25</v>
      </c>
      <c r="F122" t="s">
        <v>12</v>
      </c>
      <c r="G122">
        <v>64</v>
      </c>
      <c r="H122" t="s">
        <v>138</v>
      </c>
      <c r="I122" t="s">
        <v>142</v>
      </c>
      <c r="J122" t="s">
        <v>49</v>
      </c>
      <c r="K122">
        <f>IF(AND(API_Cosevi[[#This Row],[Rol persona]]="Motociclista", OR(API_Cosevi[[#This Row],[Dia]]="Domingo", API_Cosevi[[#This Row],[Dia]]="Sabado")), 1, 0)</f>
        <v>0</v>
      </c>
      <c r="L122">
        <f>IF(AND(API_Cosevi[[#This Row],[Rol persona]]="Motociclista", OR(API_Cosevi[[#This Row],[Edad quinquenal]]="15 A 19", API_Cosevi[[#This Row],[Edad quinquenal]]="10 A 14")), 1, 0)</f>
        <v>0</v>
      </c>
    </row>
    <row r="123" spans="1:12" x14ac:dyDescent="0.3">
      <c r="A123" t="s">
        <v>56</v>
      </c>
      <c r="B123" t="s">
        <v>9</v>
      </c>
      <c r="C123" t="s">
        <v>63</v>
      </c>
      <c r="D123" t="s">
        <v>24</v>
      </c>
      <c r="E123" t="s">
        <v>158</v>
      </c>
      <c r="F123" t="s">
        <v>35</v>
      </c>
      <c r="G123">
        <v>81</v>
      </c>
      <c r="H123" t="s">
        <v>138</v>
      </c>
      <c r="I123" t="s">
        <v>142</v>
      </c>
      <c r="J123" t="s">
        <v>42</v>
      </c>
      <c r="K123">
        <f>IF(AND(API_Cosevi[[#This Row],[Rol persona]]="Motociclista", OR(API_Cosevi[[#This Row],[Dia]]="Domingo", API_Cosevi[[#This Row],[Dia]]="Sabado")), 1, 0)</f>
        <v>0</v>
      </c>
      <c r="L123">
        <f>IF(AND(API_Cosevi[[#This Row],[Rol persona]]="Motociclista", OR(API_Cosevi[[#This Row],[Edad quinquenal]]="15 A 19", API_Cosevi[[#This Row],[Edad quinquenal]]="10 A 14")), 1, 0)</f>
        <v>0</v>
      </c>
    </row>
    <row r="124" spans="1:12" x14ac:dyDescent="0.3">
      <c r="A124" t="s">
        <v>38</v>
      </c>
      <c r="B124" t="s">
        <v>50</v>
      </c>
      <c r="C124" t="s">
        <v>95</v>
      </c>
      <c r="D124">
        <v>219</v>
      </c>
      <c r="E124" t="s">
        <v>39</v>
      </c>
      <c r="F124" t="s">
        <v>12</v>
      </c>
      <c r="G124">
        <v>33</v>
      </c>
      <c r="H124" t="s">
        <v>137</v>
      </c>
      <c r="I124" t="s">
        <v>142</v>
      </c>
      <c r="J124" t="s">
        <v>21</v>
      </c>
      <c r="K124">
        <f>IF(AND(API_Cosevi[[#This Row],[Rol persona]]="Motociclista", OR(API_Cosevi[[#This Row],[Dia]]="Domingo", API_Cosevi[[#This Row],[Dia]]="Sabado")), 1, 0)</f>
        <v>0</v>
      </c>
      <c r="L124">
        <f>IF(AND(API_Cosevi[[#This Row],[Rol persona]]="Motociclista", OR(API_Cosevi[[#This Row],[Edad quinquenal]]="15 A 19", API_Cosevi[[#This Row],[Edad quinquenal]]="10 A 14")), 1, 0)</f>
        <v>0</v>
      </c>
    </row>
    <row r="125" spans="1:12" x14ac:dyDescent="0.3">
      <c r="A125" t="s">
        <v>8</v>
      </c>
      <c r="B125" t="s">
        <v>14</v>
      </c>
      <c r="C125" t="s">
        <v>88</v>
      </c>
      <c r="D125">
        <v>2</v>
      </c>
      <c r="E125" t="s">
        <v>16</v>
      </c>
      <c r="F125" t="s">
        <v>35</v>
      </c>
      <c r="G125">
        <v>53</v>
      </c>
      <c r="H125" t="s">
        <v>136</v>
      </c>
      <c r="I125" t="s">
        <v>142</v>
      </c>
      <c r="J125" t="s">
        <v>60</v>
      </c>
      <c r="K125">
        <f>IF(AND(API_Cosevi[[#This Row],[Rol persona]]="Motociclista", OR(API_Cosevi[[#This Row],[Dia]]="Domingo", API_Cosevi[[#This Row],[Dia]]="Sabado")), 1, 0)</f>
        <v>0</v>
      </c>
      <c r="L125">
        <f>IF(AND(API_Cosevi[[#This Row],[Rol persona]]="Motociclista", OR(API_Cosevi[[#This Row],[Edad quinquenal]]="15 A 19", API_Cosevi[[#This Row],[Edad quinquenal]]="10 A 14")), 1, 0)</f>
        <v>0</v>
      </c>
    </row>
    <row r="126" spans="1:12" x14ac:dyDescent="0.3">
      <c r="A126" t="s">
        <v>22</v>
      </c>
      <c r="B126" t="s">
        <v>29</v>
      </c>
      <c r="C126" t="s">
        <v>57</v>
      </c>
      <c r="D126">
        <v>35</v>
      </c>
      <c r="E126" t="s">
        <v>25</v>
      </c>
      <c r="F126" t="s">
        <v>12</v>
      </c>
      <c r="G126">
        <v>22</v>
      </c>
      <c r="H126" t="s">
        <v>136</v>
      </c>
      <c r="I126" t="s">
        <v>142</v>
      </c>
      <c r="J126" t="s">
        <v>17</v>
      </c>
      <c r="K126">
        <f>IF(AND(API_Cosevi[[#This Row],[Rol persona]]="Motociclista", OR(API_Cosevi[[#This Row],[Dia]]="Domingo", API_Cosevi[[#This Row],[Dia]]="Sabado")), 1, 0)</f>
        <v>0</v>
      </c>
      <c r="L126">
        <f>IF(AND(API_Cosevi[[#This Row],[Rol persona]]="Motociclista", OR(API_Cosevi[[#This Row],[Edad quinquenal]]="15 A 19", API_Cosevi[[#This Row],[Edad quinquenal]]="10 A 14")), 1, 0)</f>
        <v>0</v>
      </c>
    </row>
    <row r="127" spans="1:12" x14ac:dyDescent="0.3">
      <c r="A127" t="s">
        <v>22</v>
      </c>
      <c r="B127" t="s">
        <v>29</v>
      </c>
      <c r="C127" t="s">
        <v>57</v>
      </c>
      <c r="D127">
        <v>35</v>
      </c>
      <c r="E127" t="s">
        <v>16</v>
      </c>
      <c r="F127" t="s">
        <v>12</v>
      </c>
      <c r="G127">
        <v>20</v>
      </c>
      <c r="H127" t="s">
        <v>136</v>
      </c>
      <c r="I127" t="s">
        <v>142</v>
      </c>
      <c r="J127" t="s">
        <v>17</v>
      </c>
      <c r="K127">
        <f>IF(AND(API_Cosevi[[#This Row],[Rol persona]]="Motociclista", OR(API_Cosevi[[#This Row],[Dia]]="Domingo", API_Cosevi[[#This Row],[Dia]]="Sabado")), 1, 0)</f>
        <v>0</v>
      </c>
      <c r="L127">
        <f>IF(AND(API_Cosevi[[#This Row],[Rol persona]]="Motociclista", OR(API_Cosevi[[#This Row],[Edad quinquenal]]="15 A 19", API_Cosevi[[#This Row],[Edad quinquenal]]="10 A 14")), 1, 0)</f>
        <v>0</v>
      </c>
    </row>
    <row r="128" spans="1:12" x14ac:dyDescent="0.3">
      <c r="A128" t="s">
        <v>8</v>
      </c>
      <c r="B128" t="s">
        <v>29</v>
      </c>
      <c r="C128" t="s">
        <v>93</v>
      </c>
      <c r="D128" t="s">
        <v>24</v>
      </c>
      <c r="E128" t="s">
        <v>11</v>
      </c>
      <c r="F128" t="s">
        <v>12</v>
      </c>
      <c r="G128" t="s">
        <v>68</v>
      </c>
      <c r="H128" t="s">
        <v>134</v>
      </c>
      <c r="I128" t="s">
        <v>142</v>
      </c>
      <c r="J128" t="s">
        <v>68</v>
      </c>
      <c r="K128">
        <f>IF(AND(API_Cosevi[[#This Row],[Rol persona]]="Motociclista", OR(API_Cosevi[[#This Row],[Dia]]="Domingo", API_Cosevi[[#This Row],[Dia]]="Sabado")), 1, 0)</f>
        <v>0</v>
      </c>
      <c r="L128">
        <f>IF(AND(API_Cosevi[[#This Row],[Rol persona]]="Motociclista", OR(API_Cosevi[[#This Row],[Edad quinquenal]]="15 A 19", API_Cosevi[[#This Row],[Edad quinquenal]]="10 A 14")), 1, 0)</f>
        <v>0</v>
      </c>
    </row>
    <row r="129" spans="1:12" x14ac:dyDescent="0.3">
      <c r="A129" t="s">
        <v>8</v>
      </c>
      <c r="B129" t="s">
        <v>14</v>
      </c>
      <c r="C129" t="s">
        <v>61</v>
      </c>
      <c r="D129">
        <v>34</v>
      </c>
      <c r="E129" t="s">
        <v>11</v>
      </c>
      <c r="F129" t="s">
        <v>12</v>
      </c>
      <c r="G129">
        <v>21</v>
      </c>
      <c r="H129" t="s">
        <v>133</v>
      </c>
      <c r="I129" t="s">
        <v>142</v>
      </c>
      <c r="J129" t="s">
        <v>17</v>
      </c>
      <c r="K129">
        <f>IF(AND(API_Cosevi[[#This Row],[Rol persona]]="Motociclista", OR(API_Cosevi[[#This Row],[Dia]]="Domingo", API_Cosevi[[#This Row],[Dia]]="Sabado")), 1, 0)</f>
        <v>0</v>
      </c>
      <c r="L129">
        <f>IF(AND(API_Cosevi[[#This Row],[Rol persona]]="Motociclista", OR(API_Cosevi[[#This Row],[Edad quinquenal]]="15 A 19", API_Cosevi[[#This Row],[Edad quinquenal]]="10 A 14")), 1, 0)</f>
        <v>0</v>
      </c>
    </row>
    <row r="130" spans="1:12" x14ac:dyDescent="0.3">
      <c r="A130" t="s">
        <v>8</v>
      </c>
      <c r="B130" t="s">
        <v>64</v>
      </c>
      <c r="C130" t="s">
        <v>70</v>
      </c>
      <c r="D130">
        <v>247</v>
      </c>
      <c r="E130" t="s">
        <v>11</v>
      </c>
      <c r="F130" t="s">
        <v>12</v>
      </c>
      <c r="G130">
        <v>25</v>
      </c>
      <c r="H130" t="s">
        <v>132</v>
      </c>
      <c r="I130" t="s">
        <v>142</v>
      </c>
      <c r="J130" t="s">
        <v>13</v>
      </c>
      <c r="K130">
        <f>IF(AND(API_Cosevi[[#This Row],[Rol persona]]="Motociclista", OR(API_Cosevi[[#This Row],[Dia]]="Domingo", API_Cosevi[[#This Row],[Dia]]="Sabado")), 1, 0)</f>
        <v>1</v>
      </c>
      <c r="L130">
        <f>IF(AND(API_Cosevi[[#This Row],[Rol persona]]="Motociclista", OR(API_Cosevi[[#This Row],[Edad quinquenal]]="15 A 19", API_Cosevi[[#This Row],[Edad quinquenal]]="10 A 14")), 1, 0)</f>
        <v>0</v>
      </c>
    </row>
    <row r="131" spans="1:12" x14ac:dyDescent="0.3">
      <c r="A131" t="s">
        <v>8</v>
      </c>
      <c r="B131" t="s">
        <v>29</v>
      </c>
      <c r="C131" t="s">
        <v>48</v>
      </c>
      <c r="D131">
        <v>140</v>
      </c>
      <c r="E131" t="s">
        <v>11</v>
      </c>
      <c r="F131" t="s">
        <v>12</v>
      </c>
      <c r="G131">
        <v>48</v>
      </c>
      <c r="H131" t="s">
        <v>132</v>
      </c>
      <c r="I131" t="s">
        <v>142</v>
      </c>
      <c r="J131" t="s">
        <v>19</v>
      </c>
      <c r="K131">
        <f>IF(AND(API_Cosevi[[#This Row],[Rol persona]]="Motociclista", OR(API_Cosevi[[#This Row],[Dia]]="Domingo", API_Cosevi[[#This Row],[Dia]]="Sabado")), 1, 0)</f>
        <v>1</v>
      </c>
      <c r="L131">
        <f>IF(AND(API_Cosevi[[#This Row],[Rol persona]]="Motociclista", OR(API_Cosevi[[#This Row],[Edad quinquenal]]="15 A 19", API_Cosevi[[#This Row],[Edad quinquenal]]="10 A 14")), 1, 0)</f>
        <v>0</v>
      </c>
    </row>
    <row r="132" spans="1:12" x14ac:dyDescent="0.3">
      <c r="A132" t="s">
        <v>33</v>
      </c>
      <c r="B132" t="s">
        <v>14</v>
      </c>
      <c r="C132" t="s">
        <v>14</v>
      </c>
      <c r="D132" t="s">
        <v>24</v>
      </c>
      <c r="E132" t="s">
        <v>25</v>
      </c>
      <c r="F132" t="s">
        <v>12</v>
      </c>
      <c r="G132">
        <v>40</v>
      </c>
      <c r="H132" t="s">
        <v>132</v>
      </c>
      <c r="I132" t="s">
        <v>142</v>
      </c>
      <c r="J132" t="s">
        <v>28</v>
      </c>
      <c r="K132">
        <f>IF(AND(API_Cosevi[[#This Row],[Rol persona]]="Motociclista", OR(API_Cosevi[[#This Row],[Dia]]="Domingo", API_Cosevi[[#This Row],[Dia]]="Sabado")), 1, 0)</f>
        <v>0</v>
      </c>
      <c r="L132">
        <f>IF(AND(API_Cosevi[[#This Row],[Rol persona]]="Motociclista", OR(API_Cosevi[[#This Row],[Edad quinquenal]]="15 A 19", API_Cosevi[[#This Row],[Edad quinquenal]]="10 A 14")), 1, 0)</f>
        <v>0</v>
      </c>
    </row>
    <row r="133" spans="1:12" x14ac:dyDescent="0.3">
      <c r="A133" t="s">
        <v>33</v>
      </c>
      <c r="B133" t="s">
        <v>9</v>
      </c>
      <c r="C133" t="s">
        <v>96</v>
      </c>
      <c r="D133">
        <v>910</v>
      </c>
      <c r="E133" t="s">
        <v>158</v>
      </c>
      <c r="F133" t="s">
        <v>12</v>
      </c>
      <c r="G133">
        <v>85</v>
      </c>
      <c r="H133" t="s">
        <v>138</v>
      </c>
      <c r="I133" t="s">
        <v>142</v>
      </c>
      <c r="J133" t="s">
        <v>42</v>
      </c>
      <c r="K133">
        <f>IF(AND(API_Cosevi[[#This Row],[Rol persona]]="Motociclista", OR(API_Cosevi[[#This Row],[Dia]]="Domingo", API_Cosevi[[#This Row],[Dia]]="Sabado")), 1, 0)</f>
        <v>0</v>
      </c>
      <c r="L133">
        <f>IF(AND(API_Cosevi[[#This Row],[Rol persona]]="Motociclista", OR(API_Cosevi[[#This Row],[Edad quinquenal]]="15 A 19", API_Cosevi[[#This Row],[Edad quinquenal]]="10 A 14")), 1, 0)</f>
        <v>0</v>
      </c>
    </row>
    <row r="134" spans="1:12" x14ac:dyDescent="0.3">
      <c r="A134" t="s">
        <v>8</v>
      </c>
      <c r="B134" t="s">
        <v>64</v>
      </c>
      <c r="C134" t="s">
        <v>64</v>
      </c>
      <c r="D134">
        <v>234</v>
      </c>
      <c r="E134" t="s">
        <v>11</v>
      </c>
      <c r="F134" t="s">
        <v>12</v>
      </c>
      <c r="G134">
        <v>29</v>
      </c>
      <c r="H134" t="s">
        <v>138</v>
      </c>
      <c r="I134" t="s">
        <v>142</v>
      </c>
      <c r="J134" t="s">
        <v>13</v>
      </c>
      <c r="K134">
        <f>IF(AND(API_Cosevi[[#This Row],[Rol persona]]="Motociclista", OR(API_Cosevi[[#This Row],[Dia]]="Domingo", API_Cosevi[[#This Row],[Dia]]="Sabado")), 1, 0)</f>
        <v>1</v>
      </c>
      <c r="L134">
        <f>IF(AND(API_Cosevi[[#This Row],[Rol persona]]="Motociclista", OR(API_Cosevi[[#This Row],[Edad quinquenal]]="15 A 19", API_Cosevi[[#This Row],[Edad quinquenal]]="10 A 14")), 1, 0)</f>
        <v>0</v>
      </c>
    </row>
    <row r="135" spans="1:12" x14ac:dyDescent="0.3">
      <c r="A135" t="s">
        <v>33</v>
      </c>
      <c r="B135" t="s">
        <v>14</v>
      </c>
      <c r="C135" t="s">
        <v>15</v>
      </c>
      <c r="D135">
        <v>34</v>
      </c>
      <c r="E135" t="s">
        <v>158</v>
      </c>
      <c r="F135" t="s">
        <v>12</v>
      </c>
      <c r="G135">
        <v>60</v>
      </c>
      <c r="H135" t="s">
        <v>138</v>
      </c>
      <c r="I135" t="s">
        <v>142</v>
      </c>
      <c r="J135" t="s">
        <v>49</v>
      </c>
      <c r="K135">
        <f>IF(AND(API_Cosevi[[#This Row],[Rol persona]]="Motociclista", OR(API_Cosevi[[#This Row],[Dia]]="Domingo", API_Cosevi[[#This Row],[Dia]]="Sabado")), 1, 0)</f>
        <v>0</v>
      </c>
      <c r="L135">
        <f>IF(AND(API_Cosevi[[#This Row],[Rol persona]]="Motociclista", OR(API_Cosevi[[#This Row],[Edad quinquenal]]="15 A 19", API_Cosevi[[#This Row],[Edad quinquenal]]="10 A 14")), 1, 0)</f>
        <v>0</v>
      </c>
    </row>
    <row r="136" spans="1:12" x14ac:dyDescent="0.3">
      <c r="A136" t="s">
        <v>33</v>
      </c>
      <c r="B136" t="s">
        <v>14</v>
      </c>
      <c r="C136" t="s">
        <v>45</v>
      </c>
      <c r="D136">
        <v>2</v>
      </c>
      <c r="E136" t="s">
        <v>158</v>
      </c>
      <c r="F136" t="s">
        <v>12</v>
      </c>
      <c r="G136">
        <v>48</v>
      </c>
      <c r="H136" t="s">
        <v>137</v>
      </c>
      <c r="I136" t="s">
        <v>142</v>
      </c>
      <c r="J136" t="s">
        <v>19</v>
      </c>
      <c r="K136">
        <f>IF(AND(API_Cosevi[[#This Row],[Rol persona]]="Motociclista", OR(API_Cosevi[[#This Row],[Dia]]="Domingo", API_Cosevi[[#This Row],[Dia]]="Sabado")), 1, 0)</f>
        <v>0</v>
      </c>
      <c r="L136">
        <f>IF(AND(API_Cosevi[[#This Row],[Rol persona]]="Motociclista", OR(API_Cosevi[[#This Row],[Edad quinquenal]]="15 A 19", API_Cosevi[[#This Row],[Edad quinquenal]]="10 A 14")), 1, 0)</f>
        <v>0</v>
      </c>
    </row>
    <row r="137" spans="1:12" x14ac:dyDescent="0.3">
      <c r="A137" t="s">
        <v>46</v>
      </c>
      <c r="B137" t="s">
        <v>34</v>
      </c>
      <c r="C137" t="s">
        <v>97</v>
      </c>
      <c r="D137" t="s">
        <v>24</v>
      </c>
      <c r="E137" t="s">
        <v>11</v>
      </c>
      <c r="F137" t="s">
        <v>12</v>
      </c>
      <c r="G137">
        <v>34</v>
      </c>
      <c r="H137" t="s">
        <v>137</v>
      </c>
      <c r="I137" t="s">
        <v>142</v>
      </c>
      <c r="J137" t="s">
        <v>21</v>
      </c>
      <c r="K137">
        <f>IF(AND(API_Cosevi[[#This Row],[Rol persona]]="Motociclista", OR(API_Cosevi[[#This Row],[Dia]]="Domingo", API_Cosevi[[#This Row],[Dia]]="Sabado")), 1, 0)</f>
        <v>0</v>
      </c>
      <c r="L137">
        <f>IF(AND(API_Cosevi[[#This Row],[Rol persona]]="Motociclista", OR(API_Cosevi[[#This Row],[Edad quinquenal]]="15 A 19", API_Cosevi[[#This Row],[Edad quinquenal]]="10 A 14")), 1, 0)</f>
        <v>0</v>
      </c>
    </row>
    <row r="138" spans="1:12" x14ac:dyDescent="0.3">
      <c r="A138" t="s">
        <v>22</v>
      </c>
      <c r="B138" t="s">
        <v>14</v>
      </c>
      <c r="C138" t="s">
        <v>41</v>
      </c>
      <c r="D138">
        <v>34</v>
      </c>
      <c r="E138" t="s">
        <v>25</v>
      </c>
      <c r="F138" t="s">
        <v>12</v>
      </c>
      <c r="G138">
        <v>57</v>
      </c>
      <c r="H138" t="s">
        <v>136</v>
      </c>
      <c r="I138" t="s">
        <v>142</v>
      </c>
      <c r="J138" t="s">
        <v>36</v>
      </c>
      <c r="K138">
        <f>IF(AND(API_Cosevi[[#This Row],[Rol persona]]="Motociclista", OR(API_Cosevi[[#This Row],[Dia]]="Domingo", API_Cosevi[[#This Row],[Dia]]="Sabado")), 1, 0)</f>
        <v>0</v>
      </c>
      <c r="L138">
        <f>IF(AND(API_Cosevi[[#This Row],[Rol persona]]="Motociclista", OR(API_Cosevi[[#This Row],[Edad quinquenal]]="15 A 19", API_Cosevi[[#This Row],[Edad quinquenal]]="10 A 14")), 1, 0)</f>
        <v>0</v>
      </c>
    </row>
    <row r="139" spans="1:12" x14ac:dyDescent="0.3">
      <c r="A139" t="s">
        <v>38</v>
      </c>
      <c r="B139" t="s">
        <v>64</v>
      </c>
      <c r="C139" t="s">
        <v>64</v>
      </c>
      <c r="D139">
        <v>234</v>
      </c>
      <c r="E139" t="s">
        <v>39</v>
      </c>
      <c r="F139" t="s">
        <v>12</v>
      </c>
      <c r="G139">
        <v>55</v>
      </c>
      <c r="H139" t="s">
        <v>136</v>
      </c>
      <c r="I139" t="s">
        <v>142</v>
      </c>
      <c r="J139" t="s">
        <v>36</v>
      </c>
      <c r="K139">
        <f>IF(AND(API_Cosevi[[#This Row],[Rol persona]]="Motociclista", OR(API_Cosevi[[#This Row],[Dia]]="Domingo", API_Cosevi[[#This Row],[Dia]]="Sabado")), 1, 0)</f>
        <v>0</v>
      </c>
      <c r="L139">
        <f>IF(AND(API_Cosevi[[#This Row],[Rol persona]]="Motociclista", OR(API_Cosevi[[#This Row],[Edad quinquenal]]="15 A 19", API_Cosevi[[#This Row],[Edad quinquenal]]="10 A 14")), 1, 0)</f>
        <v>0</v>
      </c>
    </row>
    <row r="140" spans="1:12" x14ac:dyDescent="0.3">
      <c r="A140" t="s">
        <v>8</v>
      </c>
      <c r="B140" t="s">
        <v>34</v>
      </c>
      <c r="C140" t="s">
        <v>98</v>
      </c>
      <c r="D140">
        <v>2</v>
      </c>
      <c r="E140" t="s">
        <v>11</v>
      </c>
      <c r="F140" t="s">
        <v>12</v>
      </c>
      <c r="G140">
        <v>18</v>
      </c>
      <c r="H140" t="s">
        <v>136</v>
      </c>
      <c r="I140" t="s">
        <v>142</v>
      </c>
      <c r="J140" t="s">
        <v>31</v>
      </c>
      <c r="K140">
        <f>IF(AND(API_Cosevi[[#This Row],[Rol persona]]="Motociclista", OR(API_Cosevi[[#This Row],[Dia]]="Domingo", API_Cosevi[[#This Row],[Dia]]="Sabado")), 1, 0)</f>
        <v>0</v>
      </c>
      <c r="L140">
        <f>IF(AND(API_Cosevi[[#This Row],[Rol persona]]="Motociclista", OR(API_Cosevi[[#This Row],[Edad quinquenal]]="15 A 19", API_Cosevi[[#This Row],[Edad quinquenal]]="10 A 14")), 1, 0)</f>
        <v>1</v>
      </c>
    </row>
    <row r="141" spans="1:12" x14ac:dyDescent="0.3">
      <c r="A141" t="s">
        <v>8</v>
      </c>
      <c r="B141" t="s">
        <v>64</v>
      </c>
      <c r="C141" t="s">
        <v>99</v>
      </c>
      <c r="D141">
        <v>36</v>
      </c>
      <c r="E141" t="s">
        <v>11</v>
      </c>
      <c r="F141" t="s">
        <v>12</v>
      </c>
      <c r="G141">
        <v>21</v>
      </c>
      <c r="H141" t="s">
        <v>136</v>
      </c>
      <c r="I141" t="s">
        <v>142</v>
      </c>
      <c r="J141" t="s">
        <v>17</v>
      </c>
      <c r="K141">
        <f>IF(AND(API_Cosevi[[#This Row],[Rol persona]]="Motociclista", OR(API_Cosevi[[#This Row],[Dia]]="Domingo", API_Cosevi[[#This Row],[Dia]]="Sabado")), 1, 0)</f>
        <v>0</v>
      </c>
      <c r="L141">
        <f>IF(AND(API_Cosevi[[#This Row],[Rol persona]]="Motociclista", OR(API_Cosevi[[#This Row],[Edad quinquenal]]="15 A 19", API_Cosevi[[#This Row],[Edad quinquenal]]="10 A 14")), 1, 0)</f>
        <v>0</v>
      </c>
    </row>
    <row r="142" spans="1:12" x14ac:dyDescent="0.3">
      <c r="A142" t="s">
        <v>8</v>
      </c>
      <c r="B142" t="s">
        <v>14</v>
      </c>
      <c r="C142" t="s">
        <v>18</v>
      </c>
      <c r="D142">
        <v>245</v>
      </c>
      <c r="E142" t="s">
        <v>62</v>
      </c>
      <c r="F142" t="s">
        <v>12</v>
      </c>
      <c r="G142">
        <v>30</v>
      </c>
      <c r="H142" t="s">
        <v>133</v>
      </c>
      <c r="I142" t="s">
        <v>142</v>
      </c>
      <c r="J142" t="s">
        <v>21</v>
      </c>
      <c r="K142">
        <f>IF(AND(API_Cosevi[[#This Row],[Rol persona]]="Motociclista", OR(API_Cosevi[[#This Row],[Dia]]="Domingo", API_Cosevi[[#This Row],[Dia]]="Sabado")), 1, 0)</f>
        <v>0</v>
      </c>
      <c r="L142">
        <f>IF(AND(API_Cosevi[[#This Row],[Rol persona]]="Motociclista", OR(API_Cosevi[[#This Row],[Edad quinquenal]]="15 A 19", API_Cosevi[[#This Row],[Edad quinquenal]]="10 A 14")), 1, 0)</f>
        <v>0</v>
      </c>
    </row>
    <row r="143" spans="1:12" x14ac:dyDescent="0.3">
      <c r="A143" t="s">
        <v>8</v>
      </c>
      <c r="B143" t="s">
        <v>14</v>
      </c>
      <c r="C143" t="s">
        <v>61</v>
      </c>
      <c r="D143">
        <v>34</v>
      </c>
      <c r="E143" t="s">
        <v>11</v>
      </c>
      <c r="F143" t="s">
        <v>12</v>
      </c>
      <c r="G143">
        <v>21</v>
      </c>
      <c r="H143" t="s">
        <v>133</v>
      </c>
      <c r="I143" t="s">
        <v>142</v>
      </c>
      <c r="J143" t="s">
        <v>17</v>
      </c>
      <c r="K143">
        <f>IF(AND(API_Cosevi[[#This Row],[Rol persona]]="Motociclista", OR(API_Cosevi[[#This Row],[Dia]]="Domingo", API_Cosevi[[#This Row],[Dia]]="Sabado")), 1, 0)</f>
        <v>0</v>
      </c>
      <c r="L143">
        <f>IF(AND(API_Cosevi[[#This Row],[Rol persona]]="Motociclista", OR(API_Cosevi[[#This Row],[Edad quinquenal]]="15 A 19", API_Cosevi[[#This Row],[Edad quinquenal]]="10 A 14")), 1, 0)</f>
        <v>0</v>
      </c>
    </row>
    <row r="144" spans="1:12" x14ac:dyDescent="0.3">
      <c r="A144" t="s">
        <v>33</v>
      </c>
      <c r="B144" t="s">
        <v>29</v>
      </c>
      <c r="C144" t="s">
        <v>100</v>
      </c>
      <c r="D144">
        <v>4</v>
      </c>
      <c r="E144" t="s">
        <v>158</v>
      </c>
      <c r="F144" t="s">
        <v>12</v>
      </c>
      <c r="G144">
        <v>37</v>
      </c>
      <c r="H144" t="s">
        <v>133</v>
      </c>
      <c r="I144" t="s">
        <v>142</v>
      </c>
      <c r="J144" t="s">
        <v>32</v>
      </c>
      <c r="K144">
        <f>IF(AND(API_Cosevi[[#This Row],[Rol persona]]="Motociclista", OR(API_Cosevi[[#This Row],[Dia]]="Domingo", API_Cosevi[[#This Row],[Dia]]="Sabado")), 1, 0)</f>
        <v>0</v>
      </c>
      <c r="L144">
        <f>IF(AND(API_Cosevi[[#This Row],[Rol persona]]="Motociclista", OR(API_Cosevi[[#This Row],[Edad quinquenal]]="15 A 19", API_Cosevi[[#This Row],[Edad quinquenal]]="10 A 14")), 1, 0)</f>
        <v>0</v>
      </c>
    </row>
    <row r="145" spans="1:12" x14ac:dyDescent="0.3">
      <c r="A145" t="s">
        <v>22</v>
      </c>
      <c r="B145" t="s">
        <v>14</v>
      </c>
      <c r="C145" t="s">
        <v>45</v>
      </c>
      <c r="D145">
        <v>2</v>
      </c>
      <c r="E145" t="s">
        <v>62</v>
      </c>
      <c r="F145" t="s">
        <v>12</v>
      </c>
      <c r="G145" t="s">
        <v>68</v>
      </c>
      <c r="H145" t="s">
        <v>138</v>
      </c>
      <c r="I145" t="s">
        <v>142</v>
      </c>
      <c r="J145" t="s">
        <v>68</v>
      </c>
      <c r="K145">
        <f>IF(AND(API_Cosevi[[#This Row],[Rol persona]]="Motociclista", OR(API_Cosevi[[#This Row],[Dia]]="Domingo", API_Cosevi[[#This Row],[Dia]]="Sabado")), 1, 0)</f>
        <v>0</v>
      </c>
      <c r="L145">
        <f>IF(AND(API_Cosevi[[#This Row],[Rol persona]]="Motociclista", OR(API_Cosevi[[#This Row],[Edad quinquenal]]="15 A 19", API_Cosevi[[#This Row],[Edad quinquenal]]="10 A 14")), 1, 0)</f>
        <v>0</v>
      </c>
    </row>
    <row r="146" spans="1:12" x14ac:dyDescent="0.3">
      <c r="A146" t="s">
        <v>22</v>
      </c>
      <c r="B146" t="s">
        <v>64</v>
      </c>
      <c r="C146" t="s">
        <v>101</v>
      </c>
      <c r="D146">
        <v>415</v>
      </c>
      <c r="E146" t="s">
        <v>11</v>
      </c>
      <c r="F146" t="s">
        <v>12</v>
      </c>
      <c r="G146">
        <v>48</v>
      </c>
      <c r="H146" t="s">
        <v>138</v>
      </c>
      <c r="I146" t="s">
        <v>142</v>
      </c>
      <c r="J146" t="s">
        <v>19</v>
      </c>
      <c r="K146">
        <f>IF(AND(API_Cosevi[[#This Row],[Rol persona]]="Motociclista", OR(API_Cosevi[[#This Row],[Dia]]="Domingo", API_Cosevi[[#This Row],[Dia]]="Sabado")), 1, 0)</f>
        <v>1</v>
      </c>
      <c r="L146">
        <f>IF(AND(API_Cosevi[[#This Row],[Rol persona]]="Motociclista", OR(API_Cosevi[[#This Row],[Edad quinquenal]]="15 A 19", API_Cosevi[[#This Row],[Edad quinquenal]]="10 A 14")), 1, 0)</f>
        <v>0</v>
      </c>
    </row>
    <row r="147" spans="1:12" x14ac:dyDescent="0.3">
      <c r="A147" t="s">
        <v>8</v>
      </c>
      <c r="B147" t="s">
        <v>50</v>
      </c>
      <c r="C147" t="s">
        <v>50</v>
      </c>
      <c r="D147">
        <v>2</v>
      </c>
      <c r="E147" t="s">
        <v>11</v>
      </c>
      <c r="F147" t="s">
        <v>12</v>
      </c>
      <c r="G147">
        <v>36</v>
      </c>
      <c r="H147" t="s">
        <v>135</v>
      </c>
      <c r="I147" t="s">
        <v>142</v>
      </c>
      <c r="J147" t="s">
        <v>32</v>
      </c>
      <c r="K147">
        <f>IF(AND(API_Cosevi[[#This Row],[Rol persona]]="Motociclista", OR(API_Cosevi[[#This Row],[Dia]]="Domingo", API_Cosevi[[#This Row],[Dia]]="Sabado")), 1, 0)</f>
        <v>0</v>
      </c>
      <c r="L147">
        <f>IF(AND(API_Cosevi[[#This Row],[Rol persona]]="Motociclista", OR(API_Cosevi[[#This Row],[Edad quinquenal]]="15 A 19", API_Cosevi[[#This Row],[Edad quinquenal]]="10 A 14")), 1, 0)</f>
        <v>0</v>
      </c>
    </row>
    <row r="148" spans="1:12" x14ac:dyDescent="0.3">
      <c r="A148" t="s">
        <v>33</v>
      </c>
      <c r="B148" t="s">
        <v>14</v>
      </c>
      <c r="C148" t="s">
        <v>41</v>
      </c>
      <c r="D148">
        <v>34</v>
      </c>
      <c r="E148" t="s">
        <v>158</v>
      </c>
      <c r="F148" t="s">
        <v>12</v>
      </c>
      <c r="G148" t="s">
        <v>68</v>
      </c>
      <c r="H148" t="s">
        <v>135</v>
      </c>
      <c r="I148" t="s">
        <v>142</v>
      </c>
      <c r="J148" t="s">
        <v>68</v>
      </c>
      <c r="K148">
        <f>IF(AND(API_Cosevi[[#This Row],[Rol persona]]="Motociclista", OR(API_Cosevi[[#This Row],[Dia]]="Domingo", API_Cosevi[[#This Row],[Dia]]="Sabado")), 1, 0)</f>
        <v>0</v>
      </c>
      <c r="L148">
        <f>IF(AND(API_Cosevi[[#This Row],[Rol persona]]="Motociclista", OR(API_Cosevi[[#This Row],[Edad quinquenal]]="15 A 19", API_Cosevi[[#This Row],[Edad quinquenal]]="10 A 14")), 1, 0)</f>
        <v>0</v>
      </c>
    </row>
    <row r="149" spans="1:12" x14ac:dyDescent="0.3">
      <c r="A149" t="s">
        <v>8</v>
      </c>
      <c r="B149" t="s">
        <v>14</v>
      </c>
      <c r="C149" t="s">
        <v>15</v>
      </c>
      <c r="D149">
        <v>34</v>
      </c>
      <c r="E149" t="s">
        <v>11</v>
      </c>
      <c r="F149" t="s">
        <v>12</v>
      </c>
      <c r="G149">
        <v>27</v>
      </c>
      <c r="H149" t="s">
        <v>134</v>
      </c>
      <c r="I149" t="s">
        <v>142</v>
      </c>
      <c r="J149" t="s">
        <v>13</v>
      </c>
      <c r="K149">
        <f>IF(AND(API_Cosevi[[#This Row],[Rol persona]]="Motociclista", OR(API_Cosevi[[#This Row],[Dia]]="Domingo", API_Cosevi[[#This Row],[Dia]]="Sabado")), 1, 0)</f>
        <v>0</v>
      </c>
      <c r="L149">
        <f>IF(AND(API_Cosevi[[#This Row],[Rol persona]]="Motociclista", OR(API_Cosevi[[#This Row],[Edad quinquenal]]="15 A 19", API_Cosevi[[#This Row],[Edad quinquenal]]="10 A 14")), 1, 0)</f>
        <v>0</v>
      </c>
    </row>
    <row r="150" spans="1:12" x14ac:dyDescent="0.3">
      <c r="A150" t="s">
        <v>33</v>
      </c>
      <c r="B150" t="s">
        <v>9</v>
      </c>
      <c r="C150" t="s">
        <v>52</v>
      </c>
      <c r="D150">
        <v>21</v>
      </c>
      <c r="E150" t="s">
        <v>158</v>
      </c>
      <c r="F150" t="s">
        <v>102</v>
      </c>
      <c r="G150">
        <v>33</v>
      </c>
      <c r="H150" t="s">
        <v>132</v>
      </c>
      <c r="I150" t="s">
        <v>142</v>
      </c>
      <c r="J150" t="s">
        <v>21</v>
      </c>
      <c r="K150">
        <f>IF(AND(API_Cosevi[[#This Row],[Rol persona]]="Motociclista", OR(API_Cosevi[[#This Row],[Dia]]="Domingo", API_Cosevi[[#This Row],[Dia]]="Sabado")), 1, 0)</f>
        <v>0</v>
      </c>
      <c r="L150">
        <f>IF(AND(API_Cosevi[[#This Row],[Rol persona]]="Motociclista", OR(API_Cosevi[[#This Row],[Edad quinquenal]]="15 A 19", API_Cosevi[[#This Row],[Edad quinquenal]]="10 A 14")), 1, 0)</f>
        <v>0</v>
      </c>
    </row>
    <row r="151" spans="1:12" x14ac:dyDescent="0.3">
      <c r="A151" t="s">
        <v>22</v>
      </c>
      <c r="B151" t="s">
        <v>29</v>
      </c>
      <c r="C151" t="s">
        <v>92</v>
      </c>
      <c r="D151">
        <v>141</v>
      </c>
      <c r="E151" t="s">
        <v>11</v>
      </c>
      <c r="F151" t="s">
        <v>12</v>
      </c>
      <c r="G151">
        <v>22</v>
      </c>
      <c r="H151" t="s">
        <v>132</v>
      </c>
      <c r="I151" t="s">
        <v>142</v>
      </c>
      <c r="J151" t="s">
        <v>17</v>
      </c>
      <c r="K151">
        <f>IF(AND(API_Cosevi[[#This Row],[Rol persona]]="Motociclista", OR(API_Cosevi[[#This Row],[Dia]]="Domingo", API_Cosevi[[#This Row],[Dia]]="Sabado")), 1, 0)</f>
        <v>1</v>
      </c>
      <c r="L151">
        <f>IF(AND(API_Cosevi[[#This Row],[Rol persona]]="Motociclista", OR(API_Cosevi[[#This Row],[Edad quinquenal]]="15 A 19", API_Cosevi[[#This Row],[Edad quinquenal]]="10 A 14")), 1, 0)</f>
        <v>0</v>
      </c>
    </row>
    <row r="152" spans="1:12" x14ac:dyDescent="0.3">
      <c r="A152" t="s">
        <v>8</v>
      </c>
      <c r="B152" t="s">
        <v>9</v>
      </c>
      <c r="C152" t="s">
        <v>77</v>
      </c>
      <c r="D152">
        <v>1</v>
      </c>
      <c r="E152" t="s">
        <v>11</v>
      </c>
      <c r="F152" t="s">
        <v>12</v>
      </c>
      <c r="G152">
        <v>29</v>
      </c>
      <c r="H152" t="s">
        <v>132</v>
      </c>
      <c r="I152" t="s">
        <v>142</v>
      </c>
      <c r="J152" t="s">
        <v>13</v>
      </c>
      <c r="K152">
        <f>IF(AND(API_Cosevi[[#This Row],[Rol persona]]="Motociclista", OR(API_Cosevi[[#This Row],[Dia]]="Domingo", API_Cosevi[[#This Row],[Dia]]="Sabado")), 1, 0)</f>
        <v>1</v>
      </c>
      <c r="L152">
        <f>IF(AND(API_Cosevi[[#This Row],[Rol persona]]="Motociclista", OR(API_Cosevi[[#This Row],[Edad quinquenal]]="15 A 19", API_Cosevi[[#This Row],[Edad quinquenal]]="10 A 14")), 1, 0)</f>
        <v>0</v>
      </c>
    </row>
    <row r="153" spans="1:12" x14ac:dyDescent="0.3">
      <c r="A153" t="s">
        <v>8</v>
      </c>
      <c r="B153" t="s">
        <v>9</v>
      </c>
      <c r="C153" t="s">
        <v>52</v>
      </c>
      <c r="D153">
        <v>153</v>
      </c>
      <c r="E153" t="s">
        <v>11</v>
      </c>
      <c r="F153" t="s">
        <v>12</v>
      </c>
      <c r="G153">
        <v>39</v>
      </c>
      <c r="H153" t="s">
        <v>138</v>
      </c>
      <c r="I153" t="s">
        <v>142</v>
      </c>
      <c r="J153" t="s">
        <v>32</v>
      </c>
      <c r="K153">
        <f>IF(AND(API_Cosevi[[#This Row],[Rol persona]]="Motociclista", OR(API_Cosevi[[#This Row],[Dia]]="Domingo", API_Cosevi[[#This Row],[Dia]]="Sabado")), 1, 0)</f>
        <v>1</v>
      </c>
      <c r="L153">
        <f>IF(AND(API_Cosevi[[#This Row],[Rol persona]]="Motociclista", OR(API_Cosevi[[#This Row],[Edad quinquenal]]="15 A 19", API_Cosevi[[#This Row],[Edad quinquenal]]="10 A 14")), 1, 0)</f>
        <v>0</v>
      </c>
    </row>
    <row r="154" spans="1:12" x14ac:dyDescent="0.3">
      <c r="A154" t="s">
        <v>38</v>
      </c>
      <c r="B154" t="s">
        <v>29</v>
      </c>
      <c r="C154" t="s">
        <v>29</v>
      </c>
      <c r="D154">
        <v>126</v>
      </c>
      <c r="E154" t="s">
        <v>39</v>
      </c>
      <c r="F154" t="s">
        <v>12</v>
      </c>
      <c r="G154">
        <v>16</v>
      </c>
      <c r="H154" t="s">
        <v>138</v>
      </c>
      <c r="I154" t="s">
        <v>142</v>
      </c>
      <c r="J154" t="s">
        <v>31</v>
      </c>
      <c r="K154">
        <f>IF(AND(API_Cosevi[[#This Row],[Rol persona]]="Motociclista", OR(API_Cosevi[[#This Row],[Dia]]="Domingo", API_Cosevi[[#This Row],[Dia]]="Sabado")), 1, 0)</f>
        <v>0</v>
      </c>
      <c r="L154">
        <f>IF(AND(API_Cosevi[[#This Row],[Rol persona]]="Motociclista", OR(API_Cosevi[[#This Row],[Edad quinquenal]]="15 A 19", API_Cosevi[[#This Row],[Edad quinquenal]]="10 A 14")), 1, 0)</f>
        <v>0</v>
      </c>
    </row>
    <row r="155" spans="1:12" x14ac:dyDescent="0.3">
      <c r="A155" t="s">
        <v>22</v>
      </c>
      <c r="B155" t="s">
        <v>34</v>
      </c>
      <c r="C155" t="s">
        <v>85</v>
      </c>
      <c r="D155">
        <v>313</v>
      </c>
      <c r="E155" t="s">
        <v>11</v>
      </c>
      <c r="F155" t="s">
        <v>12</v>
      </c>
      <c r="G155">
        <v>22</v>
      </c>
      <c r="H155" t="s">
        <v>138</v>
      </c>
      <c r="I155" t="s">
        <v>142</v>
      </c>
      <c r="J155" t="s">
        <v>17</v>
      </c>
      <c r="K155">
        <f>IF(AND(API_Cosevi[[#This Row],[Rol persona]]="Motociclista", OR(API_Cosevi[[#This Row],[Dia]]="Domingo", API_Cosevi[[#This Row],[Dia]]="Sabado")), 1, 0)</f>
        <v>1</v>
      </c>
      <c r="L155">
        <f>IF(AND(API_Cosevi[[#This Row],[Rol persona]]="Motociclista", OR(API_Cosevi[[#This Row],[Edad quinquenal]]="15 A 19", API_Cosevi[[#This Row],[Edad quinquenal]]="10 A 14")), 1, 0)</f>
        <v>0</v>
      </c>
    </row>
    <row r="156" spans="1:12" x14ac:dyDescent="0.3">
      <c r="A156" t="s">
        <v>8</v>
      </c>
      <c r="B156" t="s">
        <v>14</v>
      </c>
      <c r="C156" t="s">
        <v>14</v>
      </c>
      <c r="D156" t="s">
        <v>24</v>
      </c>
      <c r="E156" t="s">
        <v>11</v>
      </c>
      <c r="F156" t="s">
        <v>12</v>
      </c>
      <c r="G156" t="s">
        <v>68</v>
      </c>
      <c r="H156" t="s">
        <v>136</v>
      </c>
      <c r="I156" t="s">
        <v>142</v>
      </c>
      <c r="J156" t="s">
        <v>68</v>
      </c>
      <c r="K156">
        <f>IF(AND(API_Cosevi[[#This Row],[Rol persona]]="Motociclista", OR(API_Cosevi[[#This Row],[Dia]]="Domingo", API_Cosevi[[#This Row],[Dia]]="Sabado")), 1, 0)</f>
        <v>0</v>
      </c>
      <c r="L156">
        <f>IF(AND(API_Cosevi[[#This Row],[Rol persona]]="Motociclista", OR(API_Cosevi[[#This Row],[Edad quinquenal]]="15 A 19", API_Cosevi[[#This Row],[Edad quinquenal]]="10 A 14")), 1, 0)</f>
        <v>0</v>
      </c>
    </row>
    <row r="157" spans="1:12" x14ac:dyDescent="0.3">
      <c r="A157" t="s">
        <v>22</v>
      </c>
      <c r="B157" t="s">
        <v>14</v>
      </c>
      <c r="C157" t="s">
        <v>45</v>
      </c>
      <c r="D157" t="s">
        <v>24</v>
      </c>
      <c r="E157" t="s">
        <v>11</v>
      </c>
      <c r="F157" t="s">
        <v>12</v>
      </c>
      <c r="G157">
        <v>25</v>
      </c>
      <c r="H157" t="s">
        <v>136</v>
      </c>
      <c r="I157" t="s">
        <v>142</v>
      </c>
      <c r="J157" t="s">
        <v>13</v>
      </c>
      <c r="K157">
        <f>IF(AND(API_Cosevi[[#This Row],[Rol persona]]="Motociclista", OR(API_Cosevi[[#This Row],[Dia]]="Domingo", API_Cosevi[[#This Row],[Dia]]="Sabado")), 1, 0)</f>
        <v>0</v>
      </c>
      <c r="L157">
        <f>IF(AND(API_Cosevi[[#This Row],[Rol persona]]="Motociclista", OR(API_Cosevi[[#This Row],[Edad quinquenal]]="15 A 19", API_Cosevi[[#This Row],[Edad quinquenal]]="10 A 14")), 1, 0)</f>
        <v>0</v>
      </c>
    </row>
    <row r="158" spans="1:12" x14ac:dyDescent="0.3">
      <c r="A158" t="s">
        <v>8</v>
      </c>
      <c r="B158" t="s">
        <v>29</v>
      </c>
      <c r="C158" t="s">
        <v>30</v>
      </c>
      <c r="D158">
        <v>27</v>
      </c>
      <c r="E158" t="s">
        <v>82</v>
      </c>
      <c r="F158" t="s">
        <v>35</v>
      </c>
      <c r="G158">
        <v>55</v>
      </c>
      <c r="H158" t="s">
        <v>135</v>
      </c>
      <c r="I158" t="s">
        <v>143</v>
      </c>
      <c r="J158" t="s">
        <v>36</v>
      </c>
      <c r="K158">
        <f>IF(AND(API_Cosevi[[#This Row],[Rol persona]]="Motociclista", OR(API_Cosevi[[#This Row],[Dia]]="Domingo", API_Cosevi[[#This Row],[Dia]]="Sabado")), 1, 0)</f>
        <v>0</v>
      </c>
      <c r="L158">
        <f>IF(AND(API_Cosevi[[#This Row],[Rol persona]]="Motociclista", OR(API_Cosevi[[#This Row],[Edad quinquenal]]="15 A 19", API_Cosevi[[#This Row],[Edad quinquenal]]="10 A 14")), 1, 0)</f>
        <v>0</v>
      </c>
    </row>
    <row r="159" spans="1:12" x14ac:dyDescent="0.3">
      <c r="A159" t="s">
        <v>8</v>
      </c>
      <c r="B159" t="s">
        <v>29</v>
      </c>
      <c r="C159" t="s">
        <v>57</v>
      </c>
      <c r="D159">
        <v>35</v>
      </c>
      <c r="E159" t="s">
        <v>11</v>
      </c>
      <c r="F159" t="s">
        <v>12</v>
      </c>
      <c r="G159" t="s">
        <v>68</v>
      </c>
      <c r="H159" t="s">
        <v>135</v>
      </c>
      <c r="I159" t="s">
        <v>143</v>
      </c>
      <c r="J159" t="s">
        <v>68</v>
      </c>
      <c r="K159">
        <f>IF(AND(API_Cosevi[[#This Row],[Rol persona]]="Motociclista", OR(API_Cosevi[[#This Row],[Dia]]="Domingo", API_Cosevi[[#This Row],[Dia]]="Sabado")), 1, 0)</f>
        <v>0</v>
      </c>
      <c r="L159">
        <f>IF(AND(API_Cosevi[[#This Row],[Rol persona]]="Motociclista", OR(API_Cosevi[[#This Row],[Edad quinquenal]]="15 A 19", API_Cosevi[[#This Row],[Edad quinquenal]]="10 A 14")), 1, 0)</f>
        <v>0</v>
      </c>
    </row>
    <row r="160" spans="1:12" x14ac:dyDescent="0.3">
      <c r="A160" t="s">
        <v>33</v>
      </c>
      <c r="B160" t="s">
        <v>14</v>
      </c>
      <c r="C160" t="s">
        <v>14</v>
      </c>
      <c r="D160">
        <v>17</v>
      </c>
      <c r="E160" t="s">
        <v>158</v>
      </c>
      <c r="F160" t="s">
        <v>12</v>
      </c>
      <c r="G160">
        <v>29</v>
      </c>
      <c r="H160" t="s">
        <v>132</v>
      </c>
      <c r="I160" t="s">
        <v>143</v>
      </c>
      <c r="J160" t="s">
        <v>13</v>
      </c>
      <c r="K160">
        <f>IF(AND(API_Cosevi[[#This Row],[Rol persona]]="Motociclista", OR(API_Cosevi[[#This Row],[Dia]]="Domingo", API_Cosevi[[#This Row],[Dia]]="Sabado")), 1, 0)</f>
        <v>0</v>
      </c>
      <c r="L160">
        <f>IF(AND(API_Cosevi[[#This Row],[Rol persona]]="Motociclista", OR(API_Cosevi[[#This Row],[Edad quinquenal]]="15 A 19", API_Cosevi[[#This Row],[Edad quinquenal]]="10 A 14")), 1, 0)</f>
        <v>0</v>
      </c>
    </row>
    <row r="161" spans="1:12" x14ac:dyDescent="0.3">
      <c r="A161" t="s">
        <v>33</v>
      </c>
      <c r="B161" t="s">
        <v>14</v>
      </c>
      <c r="C161" t="s">
        <v>14</v>
      </c>
      <c r="D161">
        <v>17</v>
      </c>
      <c r="E161" t="s">
        <v>158</v>
      </c>
      <c r="F161" t="s">
        <v>12</v>
      </c>
      <c r="G161" t="s">
        <v>68</v>
      </c>
      <c r="H161" t="s">
        <v>132</v>
      </c>
      <c r="I161" t="s">
        <v>143</v>
      </c>
      <c r="J161" t="s">
        <v>68</v>
      </c>
      <c r="K161">
        <f>IF(AND(API_Cosevi[[#This Row],[Rol persona]]="Motociclista", OR(API_Cosevi[[#This Row],[Dia]]="Domingo", API_Cosevi[[#This Row],[Dia]]="Sabado")), 1, 0)</f>
        <v>0</v>
      </c>
      <c r="L161">
        <f>IF(AND(API_Cosevi[[#This Row],[Rol persona]]="Motociclista", OR(API_Cosevi[[#This Row],[Edad quinquenal]]="15 A 19", API_Cosevi[[#This Row],[Edad quinquenal]]="10 A 14")), 1, 0)</f>
        <v>0</v>
      </c>
    </row>
    <row r="162" spans="1:12" x14ac:dyDescent="0.3">
      <c r="A162" t="s">
        <v>22</v>
      </c>
      <c r="B162" t="s">
        <v>64</v>
      </c>
      <c r="C162" t="s">
        <v>101</v>
      </c>
      <c r="D162">
        <v>32</v>
      </c>
      <c r="E162" t="s">
        <v>11</v>
      </c>
      <c r="F162" t="s">
        <v>12</v>
      </c>
      <c r="G162">
        <v>60</v>
      </c>
      <c r="H162" t="s">
        <v>132</v>
      </c>
      <c r="I162" t="s">
        <v>143</v>
      </c>
      <c r="J162" t="s">
        <v>49</v>
      </c>
      <c r="K162">
        <f>IF(AND(API_Cosevi[[#This Row],[Rol persona]]="Motociclista", OR(API_Cosevi[[#This Row],[Dia]]="Domingo", API_Cosevi[[#This Row],[Dia]]="Sabado")), 1, 0)</f>
        <v>1</v>
      </c>
      <c r="L162">
        <f>IF(AND(API_Cosevi[[#This Row],[Rol persona]]="Motociclista", OR(API_Cosevi[[#This Row],[Edad quinquenal]]="15 A 19", API_Cosevi[[#This Row],[Edad quinquenal]]="10 A 14")), 1, 0)</f>
        <v>0</v>
      </c>
    </row>
    <row r="163" spans="1:12" x14ac:dyDescent="0.3">
      <c r="A163" t="s">
        <v>8</v>
      </c>
      <c r="B163" t="s">
        <v>34</v>
      </c>
      <c r="C163" t="s">
        <v>34</v>
      </c>
      <c r="D163" t="s">
        <v>24</v>
      </c>
      <c r="E163" t="s">
        <v>11</v>
      </c>
      <c r="F163" t="s">
        <v>12</v>
      </c>
      <c r="G163">
        <v>36</v>
      </c>
      <c r="H163" t="s">
        <v>132</v>
      </c>
      <c r="I163" t="s">
        <v>143</v>
      </c>
      <c r="J163" t="s">
        <v>32</v>
      </c>
      <c r="K163">
        <f>IF(AND(API_Cosevi[[#This Row],[Rol persona]]="Motociclista", OR(API_Cosevi[[#This Row],[Dia]]="Domingo", API_Cosevi[[#This Row],[Dia]]="Sabado")), 1, 0)</f>
        <v>1</v>
      </c>
      <c r="L163">
        <f>IF(AND(API_Cosevi[[#This Row],[Rol persona]]="Motociclista", OR(API_Cosevi[[#This Row],[Edad quinquenal]]="15 A 19", API_Cosevi[[#This Row],[Edad quinquenal]]="10 A 14")), 1, 0)</f>
        <v>0</v>
      </c>
    </row>
    <row r="164" spans="1:12" x14ac:dyDescent="0.3">
      <c r="A164" t="s">
        <v>8</v>
      </c>
      <c r="B164" t="s">
        <v>29</v>
      </c>
      <c r="C164" t="s">
        <v>103</v>
      </c>
      <c r="D164">
        <v>744</v>
      </c>
      <c r="E164" t="s">
        <v>11</v>
      </c>
      <c r="F164" t="s">
        <v>12</v>
      </c>
      <c r="G164">
        <v>36</v>
      </c>
      <c r="H164" t="s">
        <v>138</v>
      </c>
      <c r="I164" t="s">
        <v>143</v>
      </c>
      <c r="J164" t="s">
        <v>32</v>
      </c>
      <c r="K164">
        <f>IF(AND(API_Cosevi[[#This Row],[Rol persona]]="Motociclista", OR(API_Cosevi[[#This Row],[Dia]]="Domingo", API_Cosevi[[#This Row],[Dia]]="Sabado")), 1, 0)</f>
        <v>1</v>
      </c>
      <c r="L164">
        <f>IF(AND(API_Cosevi[[#This Row],[Rol persona]]="Motociclista", OR(API_Cosevi[[#This Row],[Edad quinquenal]]="15 A 19", API_Cosevi[[#This Row],[Edad quinquenal]]="10 A 14")), 1, 0)</f>
        <v>0</v>
      </c>
    </row>
    <row r="165" spans="1:12" x14ac:dyDescent="0.3">
      <c r="A165" t="s">
        <v>22</v>
      </c>
      <c r="B165" t="s">
        <v>34</v>
      </c>
      <c r="C165" t="s">
        <v>34</v>
      </c>
      <c r="D165">
        <v>1</v>
      </c>
      <c r="E165" t="s">
        <v>11</v>
      </c>
      <c r="F165" t="s">
        <v>12</v>
      </c>
      <c r="G165">
        <v>72</v>
      </c>
      <c r="H165" t="s">
        <v>135</v>
      </c>
      <c r="I165" t="s">
        <v>143</v>
      </c>
      <c r="J165" t="s">
        <v>94</v>
      </c>
      <c r="K165">
        <f>IF(AND(API_Cosevi[[#This Row],[Rol persona]]="Motociclista", OR(API_Cosevi[[#This Row],[Dia]]="Domingo", API_Cosevi[[#This Row],[Dia]]="Sabado")), 1, 0)</f>
        <v>0</v>
      </c>
      <c r="L165">
        <f>IF(AND(API_Cosevi[[#This Row],[Rol persona]]="Motociclista", OR(API_Cosevi[[#This Row],[Edad quinquenal]]="15 A 19", API_Cosevi[[#This Row],[Edad quinquenal]]="10 A 14")), 1, 0)</f>
        <v>0</v>
      </c>
    </row>
    <row r="166" spans="1:12" x14ac:dyDescent="0.3">
      <c r="A166" t="s">
        <v>22</v>
      </c>
      <c r="B166" t="s">
        <v>14</v>
      </c>
      <c r="C166" t="s">
        <v>18</v>
      </c>
      <c r="D166">
        <v>34</v>
      </c>
      <c r="E166" t="s">
        <v>16</v>
      </c>
      <c r="F166" t="s">
        <v>35</v>
      </c>
      <c r="G166">
        <v>23</v>
      </c>
      <c r="H166" t="s">
        <v>133</v>
      </c>
      <c r="I166" t="s">
        <v>143</v>
      </c>
      <c r="J166" t="s">
        <v>17</v>
      </c>
      <c r="K166">
        <f>IF(AND(API_Cosevi[[#This Row],[Rol persona]]="Motociclista", OR(API_Cosevi[[#This Row],[Dia]]="Domingo", API_Cosevi[[#This Row],[Dia]]="Sabado")), 1, 0)</f>
        <v>0</v>
      </c>
      <c r="L166">
        <f>IF(AND(API_Cosevi[[#This Row],[Rol persona]]="Motociclista", OR(API_Cosevi[[#This Row],[Edad quinquenal]]="15 A 19", API_Cosevi[[#This Row],[Edad quinquenal]]="10 A 14")), 1, 0)</f>
        <v>0</v>
      </c>
    </row>
    <row r="167" spans="1:12" x14ac:dyDescent="0.3">
      <c r="A167" t="s">
        <v>22</v>
      </c>
      <c r="B167" t="s">
        <v>14</v>
      </c>
      <c r="C167" t="s">
        <v>14</v>
      </c>
      <c r="D167" t="s">
        <v>24</v>
      </c>
      <c r="E167" t="s">
        <v>11</v>
      </c>
      <c r="F167" t="s">
        <v>12</v>
      </c>
      <c r="G167">
        <v>29</v>
      </c>
      <c r="H167" t="s">
        <v>133</v>
      </c>
      <c r="I167" t="s">
        <v>143</v>
      </c>
      <c r="J167" t="s">
        <v>13</v>
      </c>
      <c r="K167">
        <f>IF(AND(API_Cosevi[[#This Row],[Rol persona]]="Motociclista", OR(API_Cosevi[[#This Row],[Dia]]="Domingo", API_Cosevi[[#This Row],[Dia]]="Sabado")), 1, 0)</f>
        <v>0</v>
      </c>
      <c r="L167">
        <f>IF(AND(API_Cosevi[[#This Row],[Rol persona]]="Motociclista", OR(API_Cosevi[[#This Row],[Edad quinquenal]]="15 A 19", API_Cosevi[[#This Row],[Edad quinquenal]]="10 A 14")), 1, 0)</f>
        <v>0</v>
      </c>
    </row>
    <row r="168" spans="1:12" x14ac:dyDescent="0.3">
      <c r="A168" t="s">
        <v>46</v>
      </c>
      <c r="B168" t="s">
        <v>34</v>
      </c>
      <c r="C168" t="s">
        <v>104</v>
      </c>
      <c r="D168" t="s">
        <v>24</v>
      </c>
      <c r="E168" t="s">
        <v>16</v>
      </c>
      <c r="F168" t="s">
        <v>12</v>
      </c>
      <c r="G168" t="s">
        <v>68</v>
      </c>
      <c r="H168" t="s">
        <v>132</v>
      </c>
      <c r="I168" t="s">
        <v>143</v>
      </c>
      <c r="J168" t="s">
        <v>68</v>
      </c>
      <c r="K168">
        <f>IF(AND(API_Cosevi[[#This Row],[Rol persona]]="Motociclista", OR(API_Cosevi[[#This Row],[Dia]]="Domingo", API_Cosevi[[#This Row],[Dia]]="Sabado")), 1, 0)</f>
        <v>0</v>
      </c>
      <c r="L168">
        <f>IF(AND(API_Cosevi[[#This Row],[Rol persona]]="Motociclista", OR(API_Cosevi[[#This Row],[Edad quinquenal]]="15 A 19", API_Cosevi[[#This Row],[Edad quinquenal]]="10 A 14")), 1, 0)</f>
        <v>0</v>
      </c>
    </row>
    <row r="169" spans="1:12" x14ac:dyDescent="0.3">
      <c r="A169" t="s">
        <v>8</v>
      </c>
      <c r="B169" t="s">
        <v>9</v>
      </c>
      <c r="C169" t="s">
        <v>20</v>
      </c>
      <c r="D169">
        <v>21</v>
      </c>
      <c r="E169" t="s">
        <v>11</v>
      </c>
      <c r="F169" t="s">
        <v>102</v>
      </c>
      <c r="G169">
        <v>27</v>
      </c>
      <c r="H169" t="s">
        <v>132</v>
      </c>
      <c r="I169" t="s">
        <v>143</v>
      </c>
      <c r="J169" t="s">
        <v>13</v>
      </c>
      <c r="K169">
        <f>IF(AND(API_Cosevi[[#This Row],[Rol persona]]="Motociclista", OR(API_Cosevi[[#This Row],[Dia]]="Domingo", API_Cosevi[[#This Row],[Dia]]="Sabado")), 1, 0)</f>
        <v>1</v>
      </c>
      <c r="L169">
        <f>IF(AND(API_Cosevi[[#This Row],[Rol persona]]="Motociclista", OR(API_Cosevi[[#This Row],[Edad quinquenal]]="15 A 19", API_Cosevi[[#This Row],[Edad quinquenal]]="10 A 14")), 1, 0)</f>
        <v>0</v>
      </c>
    </row>
    <row r="170" spans="1:12" x14ac:dyDescent="0.3">
      <c r="A170" t="s">
        <v>8</v>
      </c>
      <c r="B170" t="s">
        <v>14</v>
      </c>
      <c r="C170" t="s">
        <v>18</v>
      </c>
      <c r="D170">
        <v>34</v>
      </c>
      <c r="E170" t="s">
        <v>11</v>
      </c>
      <c r="F170" t="s">
        <v>12</v>
      </c>
      <c r="G170">
        <v>27</v>
      </c>
      <c r="H170" t="s">
        <v>132</v>
      </c>
      <c r="I170" t="s">
        <v>143</v>
      </c>
      <c r="J170" t="s">
        <v>13</v>
      </c>
      <c r="K170">
        <f>IF(AND(API_Cosevi[[#This Row],[Rol persona]]="Motociclista", OR(API_Cosevi[[#This Row],[Dia]]="Domingo", API_Cosevi[[#This Row],[Dia]]="Sabado")), 1, 0)</f>
        <v>1</v>
      </c>
      <c r="L170">
        <f>IF(AND(API_Cosevi[[#This Row],[Rol persona]]="Motociclista", OR(API_Cosevi[[#This Row],[Edad quinquenal]]="15 A 19", API_Cosevi[[#This Row],[Edad quinquenal]]="10 A 14")), 1, 0)</f>
        <v>0</v>
      </c>
    </row>
    <row r="171" spans="1:12" x14ac:dyDescent="0.3">
      <c r="A171" t="s">
        <v>22</v>
      </c>
      <c r="B171" t="s">
        <v>64</v>
      </c>
      <c r="C171" t="s">
        <v>70</v>
      </c>
      <c r="D171">
        <v>810</v>
      </c>
      <c r="E171" t="s">
        <v>11</v>
      </c>
      <c r="F171" t="s">
        <v>12</v>
      </c>
      <c r="G171">
        <v>48</v>
      </c>
      <c r="H171" t="s">
        <v>138</v>
      </c>
      <c r="I171" t="s">
        <v>143</v>
      </c>
      <c r="J171" t="s">
        <v>19</v>
      </c>
      <c r="K171">
        <f>IF(AND(API_Cosevi[[#This Row],[Rol persona]]="Motociclista", OR(API_Cosevi[[#This Row],[Dia]]="Domingo", API_Cosevi[[#This Row],[Dia]]="Sabado")), 1, 0)</f>
        <v>1</v>
      </c>
      <c r="L171">
        <f>IF(AND(API_Cosevi[[#This Row],[Rol persona]]="Motociclista", OR(API_Cosevi[[#This Row],[Edad quinquenal]]="15 A 19", API_Cosevi[[#This Row],[Edad quinquenal]]="10 A 14")), 1, 0)</f>
        <v>0</v>
      </c>
    </row>
    <row r="172" spans="1:12" x14ac:dyDescent="0.3">
      <c r="A172" t="s">
        <v>8</v>
      </c>
      <c r="B172" t="s">
        <v>29</v>
      </c>
      <c r="C172" t="s">
        <v>105</v>
      </c>
      <c r="D172">
        <v>107</v>
      </c>
      <c r="E172" t="s">
        <v>25</v>
      </c>
      <c r="F172" t="s">
        <v>12</v>
      </c>
      <c r="G172">
        <v>22</v>
      </c>
      <c r="H172" t="s">
        <v>138</v>
      </c>
      <c r="I172" t="s">
        <v>143</v>
      </c>
      <c r="J172" t="s">
        <v>17</v>
      </c>
      <c r="K172">
        <f>IF(AND(API_Cosevi[[#This Row],[Rol persona]]="Motociclista", OR(API_Cosevi[[#This Row],[Dia]]="Domingo", API_Cosevi[[#This Row],[Dia]]="Sabado")), 1, 0)</f>
        <v>0</v>
      </c>
      <c r="L172">
        <f>IF(AND(API_Cosevi[[#This Row],[Rol persona]]="Motociclista", OR(API_Cosevi[[#This Row],[Edad quinquenal]]="15 A 19", API_Cosevi[[#This Row],[Edad quinquenal]]="10 A 14")), 1, 0)</f>
        <v>0</v>
      </c>
    </row>
    <row r="173" spans="1:12" x14ac:dyDescent="0.3">
      <c r="A173" t="s">
        <v>8</v>
      </c>
      <c r="B173" t="s">
        <v>64</v>
      </c>
      <c r="C173" t="s">
        <v>70</v>
      </c>
      <c r="D173">
        <v>32</v>
      </c>
      <c r="E173" t="s">
        <v>11</v>
      </c>
      <c r="F173" t="s">
        <v>12</v>
      </c>
      <c r="G173">
        <v>25</v>
      </c>
      <c r="H173" t="s">
        <v>138</v>
      </c>
      <c r="I173" t="s">
        <v>143</v>
      </c>
      <c r="J173" t="s">
        <v>13</v>
      </c>
      <c r="K173">
        <f>IF(AND(API_Cosevi[[#This Row],[Rol persona]]="Motociclista", OR(API_Cosevi[[#This Row],[Dia]]="Domingo", API_Cosevi[[#This Row],[Dia]]="Sabado")), 1, 0)</f>
        <v>1</v>
      </c>
      <c r="L173">
        <f>IF(AND(API_Cosevi[[#This Row],[Rol persona]]="Motociclista", OR(API_Cosevi[[#This Row],[Edad quinquenal]]="15 A 19", API_Cosevi[[#This Row],[Edad quinquenal]]="10 A 14")), 1, 0)</f>
        <v>0</v>
      </c>
    </row>
    <row r="174" spans="1:12" x14ac:dyDescent="0.3">
      <c r="A174" t="s">
        <v>33</v>
      </c>
      <c r="B174" t="s">
        <v>40</v>
      </c>
      <c r="C174" t="s">
        <v>40</v>
      </c>
      <c r="D174">
        <v>1</v>
      </c>
      <c r="E174" t="s">
        <v>158</v>
      </c>
      <c r="F174" t="s">
        <v>12</v>
      </c>
      <c r="G174">
        <v>38</v>
      </c>
      <c r="H174" t="s">
        <v>138</v>
      </c>
      <c r="I174" t="s">
        <v>143</v>
      </c>
      <c r="J174" t="s">
        <v>32</v>
      </c>
      <c r="K174">
        <f>IF(AND(API_Cosevi[[#This Row],[Rol persona]]="Motociclista", OR(API_Cosevi[[#This Row],[Dia]]="Domingo", API_Cosevi[[#This Row],[Dia]]="Sabado")), 1, 0)</f>
        <v>0</v>
      </c>
      <c r="L174">
        <f>IF(AND(API_Cosevi[[#This Row],[Rol persona]]="Motociclista", OR(API_Cosevi[[#This Row],[Edad quinquenal]]="15 A 19", API_Cosevi[[#This Row],[Edad quinquenal]]="10 A 14")), 1, 0)</f>
        <v>0</v>
      </c>
    </row>
    <row r="175" spans="1:12" x14ac:dyDescent="0.3">
      <c r="A175" t="s">
        <v>8</v>
      </c>
      <c r="B175" t="s">
        <v>14</v>
      </c>
      <c r="C175" t="s">
        <v>45</v>
      </c>
      <c r="D175">
        <v>2</v>
      </c>
      <c r="E175" t="s">
        <v>11</v>
      </c>
      <c r="F175" t="s">
        <v>12</v>
      </c>
      <c r="G175">
        <v>17</v>
      </c>
      <c r="H175" t="s">
        <v>138</v>
      </c>
      <c r="I175" t="s">
        <v>143</v>
      </c>
      <c r="J175" t="s">
        <v>31</v>
      </c>
      <c r="K175">
        <f>IF(AND(API_Cosevi[[#This Row],[Rol persona]]="Motociclista", OR(API_Cosevi[[#This Row],[Dia]]="Domingo", API_Cosevi[[#This Row],[Dia]]="Sabado")), 1, 0)</f>
        <v>1</v>
      </c>
      <c r="L175">
        <f>IF(AND(API_Cosevi[[#This Row],[Rol persona]]="Motociclista", OR(API_Cosevi[[#This Row],[Edad quinquenal]]="15 A 19", API_Cosevi[[#This Row],[Edad quinquenal]]="10 A 14")), 1, 0)</f>
        <v>1</v>
      </c>
    </row>
    <row r="176" spans="1:12" x14ac:dyDescent="0.3">
      <c r="A176" t="s">
        <v>22</v>
      </c>
      <c r="B176" t="s">
        <v>9</v>
      </c>
      <c r="C176" t="s">
        <v>77</v>
      </c>
      <c r="D176" t="s">
        <v>24</v>
      </c>
      <c r="E176" t="s">
        <v>62</v>
      </c>
      <c r="F176" t="s">
        <v>12</v>
      </c>
      <c r="G176">
        <v>12</v>
      </c>
      <c r="H176" t="s">
        <v>137</v>
      </c>
      <c r="I176" t="s">
        <v>143</v>
      </c>
      <c r="J176" t="s">
        <v>43</v>
      </c>
      <c r="K176">
        <f>IF(AND(API_Cosevi[[#This Row],[Rol persona]]="Motociclista", OR(API_Cosevi[[#This Row],[Dia]]="Domingo", API_Cosevi[[#This Row],[Dia]]="Sabado")), 1, 0)</f>
        <v>0</v>
      </c>
      <c r="L176">
        <f>IF(AND(API_Cosevi[[#This Row],[Rol persona]]="Motociclista", OR(API_Cosevi[[#This Row],[Edad quinquenal]]="15 A 19", API_Cosevi[[#This Row],[Edad quinquenal]]="10 A 14")), 1, 0)</f>
        <v>0</v>
      </c>
    </row>
    <row r="177" spans="1:12" x14ac:dyDescent="0.3">
      <c r="A177" t="s">
        <v>8</v>
      </c>
      <c r="B177" t="s">
        <v>34</v>
      </c>
      <c r="C177" t="s">
        <v>104</v>
      </c>
      <c r="D177" t="s">
        <v>24</v>
      </c>
      <c r="E177" t="s">
        <v>11</v>
      </c>
      <c r="F177" t="s">
        <v>12</v>
      </c>
      <c r="G177">
        <v>18</v>
      </c>
      <c r="H177" t="s">
        <v>135</v>
      </c>
      <c r="I177" t="s">
        <v>143</v>
      </c>
      <c r="J177" t="s">
        <v>31</v>
      </c>
      <c r="K177">
        <f>IF(AND(API_Cosevi[[#This Row],[Rol persona]]="Motociclista", OR(API_Cosevi[[#This Row],[Dia]]="Domingo", API_Cosevi[[#This Row],[Dia]]="Sabado")), 1, 0)</f>
        <v>0</v>
      </c>
      <c r="L177">
        <f>IF(AND(API_Cosevi[[#This Row],[Rol persona]]="Motociclista", OR(API_Cosevi[[#This Row],[Edad quinquenal]]="15 A 19", API_Cosevi[[#This Row],[Edad quinquenal]]="10 A 14")), 1, 0)</f>
        <v>1</v>
      </c>
    </row>
    <row r="178" spans="1:12" x14ac:dyDescent="0.3">
      <c r="A178" t="s">
        <v>22</v>
      </c>
      <c r="B178" t="s">
        <v>50</v>
      </c>
      <c r="C178" t="s">
        <v>58</v>
      </c>
      <c r="D178">
        <v>2</v>
      </c>
      <c r="E178" t="s">
        <v>11</v>
      </c>
      <c r="F178" t="s">
        <v>12</v>
      </c>
      <c r="G178">
        <v>56</v>
      </c>
      <c r="H178" t="s">
        <v>135</v>
      </c>
      <c r="I178" t="s">
        <v>143</v>
      </c>
      <c r="J178" t="s">
        <v>36</v>
      </c>
      <c r="K178">
        <f>IF(AND(API_Cosevi[[#This Row],[Rol persona]]="Motociclista", OR(API_Cosevi[[#This Row],[Dia]]="Domingo", API_Cosevi[[#This Row],[Dia]]="Sabado")), 1, 0)</f>
        <v>0</v>
      </c>
      <c r="L178">
        <f>IF(AND(API_Cosevi[[#This Row],[Rol persona]]="Motociclista", OR(API_Cosevi[[#This Row],[Edad quinquenal]]="15 A 19", API_Cosevi[[#This Row],[Edad quinquenal]]="10 A 14")), 1, 0)</f>
        <v>0</v>
      </c>
    </row>
    <row r="179" spans="1:12" x14ac:dyDescent="0.3">
      <c r="A179" t="s">
        <v>22</v>
      </c>
      <c r="B179" t="s">
        <v>14</v>
      </c>
      <c r="C179" t="s">
        <v>14</v>
      </c>
      <c r="D179">
        <v>160</v>
      </c>
      <c r="E179" t="s">
        <v>11</v>
      </c>
      <c r="F179" t="s">
        <v>12</v>
      </c>
      <c r="G179">
        <v>36</v>
      </c>
      <c r="H179" t="s">
        <v>133</v>
      </c>
      <c r="I179" t="s">
        <v>143</v>
      </c>
      <c r="J179" t="s">
        <v>32</v>
      </c>
      <c r="K179">
        <f>IF(AND(API_Cosevi[[#This Row],[Rol persona]]="Motociclista", OR(API_Cosevi[[#This Row],[Dia]]="Domingo", API_Cosevi[[#This Row],[Dia]]="Sabado")), 1, 0)</f>
        <v>0</v>
      </c>
      <c r="L179">
        <f>IF(AND(API_Cosevi[[#This Row],[Rol persona]]="Motociclista", OR(API_Cosevi[[#This Row],[Edad quinquenal]]="15 A 19", API_Cosevi[[#This Row],[Edad quinquenal]]="10 A 14")), 1, 0)</f>
        <v>0</v>
      </c>
    </row>
    <row r="180" spans="1:12" x14ac:dyDescent="0.3">
      <c r="A180" t="s">
        <v>22</v>
      </c>
      <c r="B180" t="s">
        <v>14</v>
      </c>
      <c r="C180" t="s">
        <v>18</v>
      </c>
      <c r="D180">
        <v>34</v>
      </c>
      <c r="E180" t="s">
        <v>11</v>
      </c>
      <c r="F180" t="s">
        <v>102</v>
      </c>
      <c r="G180">
        <v>30</v>
      </c>
      <c r="H180" t="s">
        <v>132</v>
      </c>
      <c r="I180" t="s">
        <v>143</v>
      </c>
      <c r="J180" t="s">
        <v>21</v>
      </c>
      <c r="K180">
        <f>IF(AND(API_Cosevi[[#This Row],[Rol persona]]="Motociclista", OR(API_Cosevi[[#This Row],[Dia]]="Domingo", API_Cosevi[[#This Row],[Dia]]="Sabado")), 1, 0)</f>
        <v>1</v>
      </c>
      <c r="L180">
        <f>IF(AND(API_Cosevi[[#This Row],[Rol persona]]="Motociclista", OR(API_Cosevi[[#This Row],[Edad quinquenal]]="15 A 19", API_Cosevi[[#This Row],[Edad quinquenal]]="10 A 14")), 1, 0)</f>
        <v>0</v>
      </c>
    </row>
    <row r="181" spans="1:12" x14ac:dyDescent="0.3">
      <c r="A181" t="s">
        <v>22</v>
      </c>
      <c r="B181" t="s">
        <v>40</v>
      </c>
      <c r="C181" t="s">
        <v>40</v>
      </c>
      <c r="D181">
        <v>1</v>
      </c>
      <c r="E181" t="s">
        <v>62</v>
      </c>
      <c r="F181" t="s">
        <v>35</v>
      </c>
      <c r="G181">
        <v>30</v>
      </c>
      <c r="H181" t="s">
        <v>132</v>
      </c>
      <c r="I181" t="s">
        <v>143</v>
      </c>
      <c r="J181" t="s">
        <v>21</v>
      </c>
      <c r="K181">
        <f>IF(AND(API_Cosevi[[#This Row],[Rol persona]]="Motociclista", OR(API_Cosevi[[#This Row],[Dia]]="Domingo", API_Cosevi[[#This Row],[Dia]]="Sabado")), 1, 0)</f>
        <v>0</v>
      </c>
      <c r="L181">
        <f>IF(AND(API_Cosevi[[#This Row],[Rol persona]]="Motociclista", OR(API_Cosevi[[#This Row],[Edad quinquenal]]="15 A 19", API_Cosevi[[#This Row],[Edad quinquenal]]="10 A 14")), 1, 0)</f>
        <v>0</v>
      </c>
    </row>
    <row r="182" spans="1:12" x14ac:dyDescent="0.3">
      <c r="A182" t="s">
        <v>8</v>
      </c>
      <c r="B182" t="s">
        <v>64</v>
      </c>
      <c r="C182" t="s">
        <v>106</v>
      </c>
      <c r="D182">
        <v>32</v>
      </c>
      <c r="E182" t="s">
        <v>25</v>
      </c>
      <c r="F182" t="s">
        <v>12</v>
      </c>
      <c r="G182" t="s">
        <v>68</v>
      </c>
      <c r="H182" t="s">
        <v>132</v>
      </c>
      <c r="I182" t="s">
        <v>143</v>
      </c>
      <c r="J182" t="s">
        <v>68</v>
      </c>
      <c r="K182">
        <f>IF(AND(API_Cosevi[[#This Row],[Rol persona]]="Motociclista", OR(API_Cosevi[[#This Row],[Dia]]="Domingo", API_Cosevi[[#This Row],[Dia]]="Sabado")), 1, 0)</f>
        <v>0</v>
      </c>
      <c r="L182">
        <f>IF(AND(API_Cosevi[[#This Row],[Rol persona]]="Motociclista", OR(API_Cosevi[[#This Row],[Edad quinquenal]]="15 A 19", API_Cosevi[[#This Row],[Edad quinquenal]]="10 A 14")), 1, 0)</f>
        <v>0</v>
      </c>
    </row>
    <row r="183" spans="1:12" x14ac:dyDescent="0.3">
      <c r="A183" t="s">
        <v>8</v>
      </c>
      <c r="B183" t="s">
        <v>64</v>
      </c>
      <c r="C183" t="s">
        <v>70</v>
      </c>
      <c r="D183">
        <v>32</v>
      </c>
      <c r="E183" t="s">
        <v>16</v>
      </c>
      <c r="F183" t="s">
        <v>35</v>
      </c>
      <c r="G183" t="s">
        <v>68</v>
      </c>
      <c r="H183" t="s">
        <v>132</v>
      </c>
      <c r="I183" t="s">
        <v>143</v>
      </c>
      <c r="J183" t="s">
        <v>68</v>
      </c>
      <c r="K183">
        <f>IF(AND(API_Cosevi[[#This Row],[Rol persona]]="Motociclista", OR(API_Cosevi[[#This Row],[Dia]]="Domingo", API_Cosevi[[#This Row],[Dia]]="Sabado")), 1, 0)</f>
        <v>0</v>
      </c>
      <c r="L183">
        <f>IF(AND(API_Cosevi[[#This Row],[Rol persona]]="Motociclista", OR(API_Cosevi[[#This Row],[Edad quinquenal]]="15 A 19", API_Cosevi[[#This Row],[Edad quinquenal]]="10 A 14")), 1, 0)</f>
        <v>0</v>
      </c>
    </row>
    <row r="184" spans="1:12" x14ac:dyDescent="0.3">
      <c r="A184" t="s">
        <v>38</v>
      </c>
      <c r="B184" t="s">
        <v>29</v>
      </c>
      <c r="C184" t="s">
        <v>48</v>
      </c>
      <c r="D184" t="s">
        <v>24</v>
      </c>
      <c r="E184" t="s">
        <v>39</v>
      </c>
      <c r="F184" t="s">
        <v>12</v>
      </c>
      <c r="G184">
        <v>61</v>
      </c>
      <c r="H184" t="s">
        <v>132</v>
      </c>
      <c r="I184" t="s">
        <v>143</v>
      </c>
      <c r="J184" t="s">
        <v>49</v>
      </c>
      <c r="K184">
        <f>IF(AND(API_Cosevi[[#This Row],[Rol persona]]="Motociclista", OR(API_Cosevi[[#This Row],[Dia]]="Domingo", API_Cosevi[[#This Row],[Dia]]="Sabado")), 1, 0)</f>
        <v>0</v>
      </c>
      <c r="L184">
        <f>IF(AND(API_Cosevi[[#This Row],[Rol persona]]="Motociclista", OR(API_Cosevi[[#This Row],[Edad quinquenal]]="15 A 19", API_Cosevi[[#This Row],[Edad quinquenal]]="10 A 14")), 1, 0)</f>
        <v>0</v>
      </c>
    </row>
    <row r="185" spans="1:12" x14ac:dyDescent="0.3">
      <c r="A185" t="s">
        <v>8</v>
      </c>
      <c r="B185" t="s">
        <v>9</v>
      </c>
      <c r="C185" t="s">
        <v>23</v>
      </c>
      <c r="D185">
        <v>150</v>
      </c>
      <c r="E185" t="s">
        <v>11</v>
      </c>
      <c r="F185" t="s">
        <v>12</v>
      </c>
      <c r="G185">
        <v>24</v>
      </c>
      <c r="H185" t="s">
        <v>138</v>
      </c>
      <c r="I185" t="s">
        <v>143</v>
      </c>
      <c r="J185" t="s">
        <v>17</v>
      </c>
      <c r="K185">
        <f>IF(AND(API_Cosevi[[#This Row],[Rol persona]]="Motociclista", OR(API_Cosevi[[#This Row],[Dia]]="Domingo", API_Cosevi[[#This Row],[Dia]]="Sabado")), 1, 0)</f>
        <v>1</v>
      </c>
      <c r="L185">
        <f>IF(AND(API_Cosevi[[#This Row],[Rol persona]]="Motociclista", OR(API_Cosevi[[#This Row],[Edad quinquenal]]="15 A 19", API_Cosevi[[#This Row],[Edad quinquenal]]="10 A 14")), 1, 0)</f>
        <v>0</v>
      </c>
    </row>
    <row r="186" spans="1:12" x14ac:dyDescent="0.3">
      <c r="A186" t="s">
        <v>8</v>
      </c>
      <c r="B186" t="s">
        <v>29</v>
      </c>
      <c r="C186" t="s">
        <v>57</v>
      </c>
      <c r="D186">
        <v>35</v>
      </c>
      <c r="E186" t="s">
        <v>25</v>
      </c>
      <c r="F186" t="s">
        <v>12</v>
      </c>
      <c r="G186">
        <v>19</v>
      </c>
      <c r="H186" t="s">
        <v>136</v>
      </c>
      <c r="I186" t="s">
        <v>143</v>
      </c>
      <c r="J186" t="s">
        <v>31</v>
      </c>
      <c r="K186">
        <f>IF(AND(API_Cosevi[[#This Row],[Rol persona]]="Motociclista", OR(API_Cosevi[[#This Row],[Dia]]="Domingo", API_Cosevi[[#This Row],[Dia]]="Sabado")), 1, 0)</f>
        <v>0</v>
      </c>
      <c r="L186">
        <f>IF(AND(API_Cosevi[[#This Row],[Rol persona]]="Motociclista", OR(API_Cosevi[[#This Row],[Edad quinquenal]]="15 A 19", API_Cosevi[[#This Row],[Edad quinquenal]]="10 A 14")), 1, 0)</f>
        <v>0</v>
      </c>
    </row>
    <row r="187" spans="1:12" x14ac:dyDescent="0.3">
      <c r="A187" t="s">
        <v>33</v>
      </c>
      <c r="B187" t="s">
        <v>40</v>
      </c>
      <c r="C187" t="s">
        <v>86</v>
      </c>
      <c r="D187">
        <v>4</v>
      </c>
      <c r="E187" t="s">
        <v>158</v>
      </c>
      <c r="F187" t="s">
        <v>12</v>
      </c>
      <c r="G187">
        <v>48</v>
      </c>
      <c r="H187" t="s">
        <v>136</v>
      </c>
      <c r="I187" t="s">
        <v>143</v>
      </c>
      <c r="J187" t="s">
        <v>19</v>
      </c>
      <c r="K187">
        <f>IF(AND(API_Cosevi[[#This Row],[Rol persona]]="Motociclista", OR(API_Cosevi[[#This Row],[Dia]]="Domingo", API_Cosevi[[#This Row],[Dia]]="Sabado")), 1, 0)</f>
        <v>0</v>
      </c>
      <c r="L187">
        <f>IF(AND(API_Cosevi[[#This Row],[Rol persona]]="Motociclista", OR(API_Cosevi[[#This Row],[Edad quinquenal]]="15 A 19", API_Cosevi[[#This Row],[Edad quinquenal]]="10 A 14")), 1, 0)</f>
        <v>0</v>
      </c>
    </row>
    <row r="188" spans="1:12" x14ac:dyDescent="0.3">
      <c r="A188" t="s">
        <v>46</v>
      </c>
      <c r="B188" t="s">
        <v>64</v>
      </c>
      <c r="C188" t="s">
        <v>101</v>
      </c>
      <c r="D188">
        <v>806</v>
      </c>
      <c r="E188" t="s">
        <v>11</v>
      </c>
      <c r="F188" t="s">
        <v>12</v>
      </c>
      <c r="G188">
        <v>35</v>
      </c>
      <c r="H188" t="s">
        <v>135</v>
      </c>
      <c r="I188" t="s">
        <v>143</v>
      </c>
      <c r="J188" t="s">
        <v>32</v>
      </c>
      <c r="K188">
        <f>IF(AND(API_Cosevi[[#This Row],[Rol persona]]="Motociclista", OR(API_Cosevi[[#This Row],[Dia]]="Domingo", API_Cosevi[[#This Row],[Dia]]="Sabado")), 1, 0)</f>
        <v>0</v>
      </c>
      <c r="L188">
        <f>IF(AND(API_Cosevi[[#This Row],[Rol persona]]="Motociclista", OR(API_Cosevi[[#This Row],[Edad quinquenal]]="15 A 19", API_Cosevi[[#This Row],[Edad quinquenal]]="10 A 14")), 1, 0)</f>
        <v>0</v>
      </c>
    </row>
    <row r="189" spans="1:12" x14ac:dyDescent="0.3">
      <c r="A189" t="s">
        <v>22</v>
      </c>
      <c r="B189" t="s">
        <v>29</v>
      </c>
      <c r="C189" t="s">
        <v>48</v>
      </c>
      <c r="D189">
        <v>250</v>
      </c>
      <c r="E189" t="s">
        <v>11</v>
      </c>
      <c r="F189" t="s">
        <v>12</v>
      </c>
      <c r="G189">
        <v>26</v>
      </c>
      <c r="H189" t="s">
        <v>135</v>
      </c>
      <c r="I189" t="s">
        <v>143</v>
      </c>
      <c r="J189" t="s">
        <v>13</v>
      </c>
      <c r="K189">
        <f>IF(AND(API_Cosevi[[#This Row],[Rol persona]]="Motociclista", OR(API_Cosevi[[#This Row],[Dia]]="Domingo", API_Cosevi[[#This Row],[Dia]]="Sabado")), 1, 0)</f>
        <v>0</v>
      </c>
      <c r="L189">
        <f>IF(AND(API_Cosevi[[#This Row],[Rol persona]]="Motociclista", OR(API_Cosevi[[#This Row],[Edad quinquenal]]="15 A 19", API_Cosevi[[#This Row],[Edad quinquenal]]="10 A 14")), 1, 0)</f>
        <v>0</v>
      </c>
    </row>
    <row r="190" spans="1:12" x14ac:dyDescent="0.3">
      <c r="A190" t="s">
        <v>8</v>
      </c>
      <c r="B190" t="s">
        <v>29</v>
      </c>
      <c r="C190" t="s">
        <v>29</v>
      </c>
      <c r="D190">
        <v>124</v>
      </c>
      <c r="E190" t="s">
        <v>11</v>
      </c>
      <c r="F190" t="s">
        <v>12</v>
      </c>
      <c r="G190">
        <v>39</v>
      </c>
      <c r="H190" t="s">
        <v>134</v>
      </c>
      <c r="I190" t="s">
        <v>143</v>
      </c>
      <c r="J190" t="s">
        <v>32</v>
      </c>
      <c r="K190">
        <f>IF(AND(API_Cosevi[[#This Row],[Rol persona]]="Motociclista", OR(API_Cosevi[[#This Row],[Dia]]="Domingo", API_Cosevi[[#This Row],[Dia]]="Sabado")), 1, 0)</f>
        <v>0</v>
      </c>
      <c r="L190">
        <f>IF(AND(API_Cosevi[[#This Row],[Rol persona]]="Motociclista", OR(API_Cosevi[[#This Row],[Edad quinquenal]]="15 A 19", API_Cosevi[[#This Row],[Edad quinquenal]]="10 A 14")), 1, 0)</f>
        <v>0</v>
      </c>
    </row>
    <row r="191" spans="1:12" x14ac:dyDescent="0.3">
      <c r="A191" t="s">
        <v>46</v>
      </c>
      <c r="B191" t="s">
        <v>29</v>
      </c>
      <c r="C191" t="s">
        <v>29</v>
      </c>
      <c r="D191" t="s">
        <v>24</v>
      </c>
      <c r="E191" t="s">
        <v>11</v>
      </c>
      <c r="F191" t="s">
        <v>12</v>
      </c>
      <c r="G191">
        <v>28</v>
      </c>
      <c r="H191" t="s">
        <v>134</v>
      </c>
      <c r="I191" t="s">
        <v>143</v>
      </c>
      <c r="J191" t="s">
        <v>13</v>
      </c>
      <c r="K191">
        <f>IF(AND(API_Cosevi[[#This Row],[Rol persona]]="Motociclista", OR(API_Cosevi[[#This Row],[Dia]]="Domingo", API_Cosevi[[#This Row],[Dia]]="Sabado")), 1, 0)</f>
        <v>0</v>
      </c>
      <c r="L191">
        <f>IF(AND(API_Cosevi[[#This Row],[Rol persona]]="Motociclista", OR(API_Cosevi[[#This Row],[Edad quinquenal]]="15 A 19", API_Cosevi[[#This Row],[Edad quinquenal]]="10 A 14")), 1, 0)</f>
        <v>0</v>
      </c>
    </row>
    <row r="192" spans="1:12" x14ac:dyDescent="0.3">
      <c r="A192" t="s">
        <v>8</v>
      </c>
      <c r="B192" t="s">
        <v>9</v>
      </c>
      <c r="C192" t="s">
        <v>20</v>
      </c>
      <c r="D192" t="s">
        <v>24</v>
      </c>
      <c r="E192" t="s">
        <v>11</v>
      </c>
      <c r="F192" t="s">
        <v>12</v>
      </c>
      <c r="G192">
        <v>38</v>
      </c>
      <c r="H192" t="s">
        <v>133</v>
      </c>
      <c r="I192" t="s">
        <v>143</v>
      </c>
      <c r="J192" t="s">
        <v>32</v>
      </c>
      <c r="K192">
        <f>IF(AND(API_Cosevi[[#This Row],[Rol persona]]="Motociclista", OR(API_Cosevi[[#This Row],[Dia]]="Domingo", API_Cosevi[[#This Row],[Dia]]="Sabado")), 1, 0)</f>
        <v>0</v>
      </c>
      <c r="L192">
        <f>IF(AND(API_Cosevi[[#This Row],[Rol persona]]="Motociclista", OR(API_Cosevi[[#This Row],[Edad quinquenal]]="15 A 19", API_Cosevi[[#This Row],[Edad quinquenal]]="10 A 14")), 1, 0)</f>
        <v>0</v>
      </c>
    </row>
    <row r="193" spans="1:12" x14ac:dyDescent="0.3">
      <c r="A193" t="s">
        <v>8</v>
      </c>
      <c r="B193" t="s">
        <v>40</v>
      </c>
      <c r="C193" t="s">
        <v>86</v>
      </c>
      <c r="D193">
        <v>4</v>
      </c>
      <c r="E193" t="s">
        <v>11</v>
      </c>
      <c r="F193" t="s">
        <v>12</v>
      </c>
      <c r="G193">
        <v>54</v>
      </c>
      <c r="H193" t="s">
        <v>132</v>
      </c>
      <c r="I193" t="s">
        <v>143</v>
      </c>
      <c r="J193" t="s">
        <v>60</v>
      </c>
      <c r="K193">
        <f>IF(AND(API_Cosevi[[#This Row],[Rol persona]]="Motociclista", OR(API_Cosevi[[#This Row],[Dia]]="Domingo", API_Cosevi[[#This Row],[Dia]]="Sabado")), 1, 0)</f>
        <v>1</v>
      </c>
      <c r="L193">
        <f>IF(AND(API_Cosevi[[#This Row],[Rol persona]]="Motociclista", OR(API_Cosevi[[#This Row],[Edad quinquenal]]="15 A 19", API_Cosevi[[#This Row],[Edad quinquenal]]="10 A 14")), 1, 0)</f>
        <v>0</v>
      </c>
    </row>
    <row r="194" spans="1:12" x14ac:dyDescent="0.3">
      <c r="A194" t="s">
        <v>8</v>
      </c>
      <c r="B194" t="s">
        <v>29</v>
      </c>
      <c r="C194" t="s">
        <v>57</v>
      </c>
      <c r="D194">
        <v>35</v>
      </c>
      <c r="E194" t="s">
        <v>11</v>
      </c>
      <c r="F194" t="s">
        <v>12</v>
      </c>
      <c r="G194" t="s">
        <v>68</v>
      </c>
      <c r="H194" t="s">
        <v>132</v>
      </c>
      <c r="I194" t="s">
        <v>143</v>
      </c>
      <c r="J194" t="s">
        <v>68</v>
      </c>
      <c r="K194">
        <f>IF(AND(API_Cosevi[[#This Row],[Rol persona]]="Motociclista", OR(API_Cosevi[[#This Row],[Dia]]="Domingo", API_Cosevi[[#This Row],[Dia]]="Sabado")), 1, 0)</f>
        <v>1</v>
      </c>
      <c r="L194">
        <f>IF(AND(API_Cosevi[[#This Row],[Rol persona]]="Motociclista", OR(API_Cosevi[[#This Row],[Edad quinquenal]]="15 A 19", API_Cosevi[[#This Row],[Edad quinquenal]]="10 A 14")), 1, 0)</f>
        <v>0</v>
      </c>
    </row>
    <row r="195" spans="1:12" x14ac:dyDescent="0.3">
      <c r="A195" t="s">
        <v>8</v>
      </c>
      <c r="B195" t="s">
        <v>29</v>
      </c>
      <c r="C195" t="s">
        <v>48</v>
      </c>
      <c r="D195">
        <v>35</v>
      </c>
      <c r="E195" t="s">
        <v>11</v>
      </c>
      <c r="F195" t="s">
        <v>12</v>
      </c>
      <c r="G195">
        <v>24</v>
      </c>
      <c r="H195" t="s">
        <v>132</v>
      </c>
      <c r="I195" t="s">
        <v>143</v>
      </c>
      <c r="J195" t="s">
        <v>17</v>
      </c>
      <c r="K195">
        <f>IF(AND(API_Cosevi[[#This Row],[Rol persona]]="Motociclista", OR(API_Cosevi[[#This Row],[Dia]]="Domingo", API_Cosevi[[#This Row],[Dia]]="Sabado")), 1, 0)</f>
        <v>1</v>
      </c>
      <c r="L195">
        <f>IF(AND(API_Cosevi[[#This Row],[Rol persona]]="Motociclista", OR(API_Cosevi[[#This Row],[Edad quinquenal]]="15 A 19", API_Cosevi[[#This Row],[Edad quinquenal]]="10 A 14")), 1, 0)</f>
        <v>0</v>
      </c>
    </row>
    <row r="196" spans="1:12" x14ac:dyDescent="0.3">
      <c r="A196" t="s">
        <v>22</v>
      </c>
      <c r="B196" t="s">
        <v>50</v>
      </c>
      <c r="C196" t="s">
        <v>95</v>
      </c>
      <c r="D196">
        <v>219</v>
      </c>
      <c r="E196" t="s">
        <v>11</v>
      </c>
      <c r="F196" t="s">
        <v>12</v>
      </c>
      <c r="G196">
        <v>24</v>
      </c>
      <c r="H196" t="s">
        <v>138</v>
      </c>
      <c r="I196" t="s">
        <v>143</v>
      </c>
      <c r="J196" t="s">
        <v>17</v>
      </c>
      <c r="K196">
        <f>IF(AND(API_Cosevi[[#This Row],[Rol persona]]="Motociclista", OR(API_Cosevi[[#This Row],[Dia]]="Domingo", API_Cosevi[[#This Row],[Dia]]="Sabado")), 1, 0)</f>
        <v>1</v>
      </c>
      <c r="L196">
        <f>IF(AND(API_Cosevi[[#This Row],[Rol persona]]="Motociclista", OR(API_Cosevi[[#This Row],[Edad quinquenal]]="15 A 19", API_Cosevi[[#This Row],[Edad quinquenal]]="10 A 14")), 1, 0)</f>
        <v>0</v>
      </c>
    </row>
    <row r="197" spans="1:12" x14ac:dyDescent="0.3">
      <c r="A197" t="s">
        <v>33</v>
      </c>
      <c r="B197" t="s">
        <v>34</v>
      </c>
      <c r="C197" t="s">
        <v>34</v>
      </c>
      <c r="D197">
        <v>27</v>
      </c>
      <c r="E197" t="s">
        <v>158</v>
      </c>
      <c r="F197" t="s">
        <v>12</v>
      </c>
      <c r="G197">
        <v>34</v>
      </c>
      <c r="H197" t="s">
        <v>137</v>
      </c>
      <c r="I197" t="s">
        <v>143</v>
      </c>
      <c r="J197" t="s">
        <v>21</v>
      </c>
      <c r="K197">
        <f>IF(AND(API_Cosevi[[#This Row],[Rol persona]]="Motociclista", OR(API_Cosevi[[#This Row],[Dia]]="Domingo", API_Cosevi[[#This Row],[Dia]]="Sabado")), 1, 0)</f>
        <v>0</v>
      </c>
      <c r="L197">
        <f>IF(AND(API_Cosevi[[#This Row],[Rol persona]]="Motociclista", OR(API_Cosevi[[#This Row],[Edad quinquenal]]="15 A 19", API_Cosevi[[#This Row],[Edad quinquenal]]="10 A 14")), 1, 0)</f>
        <v>0</v>
      </c>
    </row>
    <row r="198" spans="1:12" x14ac:dyDescent="0.3">
      <c r="A198" t="s">
        <v>8</v>
      </c>
      <c r="B198" t="s">
        <v>14</v>
      </c>
      <c r="C198" t="s">
        <v>88</v>
      </c>
      <c r="D198">
        <v>608</v>
      </c>
      <c r="E198" t="s">
        <v>11</v>
      </c>
      <c r="F198" t="s">
        <v>12</v>
      </c>
      <c r="G198">
        <v>31</v>
      </c>
      <c r="H198" t="s">
        <v>134</v>
      </c>
      <c r="I198" t="s">
        <v>143</v>
      </c>
      <c r="J198" t="s">
        <v>21</v>
      </c>
      <c r="K198">
        <f>IF(AND(API_Cosevi[[#This Row],[Rol persona]]="Motociclista", OR(API_Cosevi[[#This Row],[Dia]]="Domingo", API_Cosevi[[#This Row],[Dia]]="Sabado")), 1, 0)</f>
        <v>0</v>
      </c>
      <c r="L198">
        <f>IF(AND(API_Cosevi[[#This Row],[Rol persona]]="Motociclista", OR(API_Cosevi[[#This Row],[Edad quinquenal]]="15 A 19", API_Cosevi[[#This Row],[Edad quinquenal]]="10 A 14")), 1, 0)</f>
        <v>0</v>
      </c>
    </row>
    <row r="199" spans="1:12" x14ac:dyDescent="0.3">
      <c r="A199" t="s">
        <v>8</v>
      </c>
      <c r="B199" t="s">
        <v>64</v>
      </c>
      <c r="C199" t="s">
        <v>101</v>
      </c>
      <c r="D199">
        <v>32</v>
      </c>
      <c r="E199" t="s">
        <v>25</v>
      </c>
      <c r="F199" t="s">
        <v>12</v>
      </c>
      <c r="G199">
        <v>22</v>
      </c>
      <c r="H199" t="s">
        <v>133</v>
      </c>
      <c r="I199" t="s">
        <v>143</v>
      </c>
      <c r="J199" t="s">
        <v>17</v>
      </c>
      <c r="K199">
        <f>IF(AND(API_Cosevi[[#This Row],[Rol persona]]="Motociclista", OR(API_Cosevi[[#This Row],[Dia]]="Domingo", API_Cosevi[[#This Row],[Dia]]="Sabado")), 1, 0)</f>
        <v>0</v>
      </c>
      <c r="L199">
        <f>IF(AND(API_Cosevi[[#This Row],[Rol persona]]="Motociclista", OR(API_Cosevi[[#This Row],[Edad quinquenal]]="15 A 19", API_Cosevi[[#This Row],[Edad quinquenal]]="10 A 14")), 1, 0)</f>
        <v>0</v>
      </c>
    </row>
    <row r="200" spans="1:12" x14ac:dyDescent="0.3">
      <c r="A200" t="s">
        <v>8</v>
      </c>
      <c r="B200" t="s">
        <v>14</v>
      </c>
      <c r="C200" t="s">
        <v>14</v>
      </c>
      <c r="D200">
        <v>21</v>
      </c>
      <c r="E200" t="s">
        <v>11</v>
      </c>
      <c r="F200" t="s">
        <v>12</v>
      </c>
      <c r="G200">
        <v>27</v>
      </c>
      <c r="H200" t="s">
        <v>133</v>
      </c>
      <c r="I200" t="s">
        <v>143</v>
      </c>
      <c r="J200" t="s">
        <v>13</v>
      </c>
      <c r="K200">
        <f>IF(AND(API_Cosevi[[#This Row],[Rol persona]]="Motociclista", OR(API_Cosevi[[#This Row],[Dia]]="Domingo", API_Cosevi[[#This Row],[Dia]]="Sabado")), 1, 0)</f>
        <v>0</v>
      </c>
      <c r="L200">
        <f>IF(AND(API_Cosevi[[#This Row],[Rol persona]]="Motociclista", OR(API_Cosevi[[#This Row],[Edad quinquenal]]="15 A 19", API_Cosevi[[#This Row],[Edad quinquenal]]="10 A 14")), 1, 0)</f>
        <v>0</v>
      </c>
    </row>
    <row r="201" spans="1:12" x14ac:dyDescent="0.3">
      <c r="A201" t="s">
        <v>8</v>
      </c>
      <c r="B201" t="s">
        <v>29</v>
      </c>
      <c r="C201" t="s">
        <v>57</v>
      </c>
      <c r="D201">
        <v>35</v>
      </c>
      <c r="E201" t="s">
        <v>11</v>
      </c>
      <c r="F201" t="s">
        <v>12</v>
      </c>
      <c r="G201">
        <v>29</v>
      </c>
      <c r="H201" t="s">
        <v>132</v>
      </c>
      <c r="I201" t="s">
        <v>144</v>
      </c>
      <c r="J201" t="s">
        <v>13</v>
      </c>
      <c r="K201">
        <f>IF(AND(API_Cosevi[[#This Row],[Rol persona]]="Motociclista", OR(API_Cosevi[[#This Row],[Dia]]="Domingo", API_Cosevi[[#This Row],[Dia]]="Sabado")), 1, 0)</f>
        <v>1</v>
      </c>
      <c r="L201">
        <f>IF(AND(API_Cosevi[[#This Row],[Rol persona]]="Motociclista", OR(API_Cosevi[[#This Row],[Edad quinquenal]]="15 A 19", API_Cosevi[[#This Row],[Edad quinquenal]]="10 A 14")), 1, 0)</f>
        <v>0</v>
      </c>
    </row>
    <row r="202" spans="1:12" x14ac:dyDescent="0.3">
      <c r="A202" t="s">
        <v>38</v>
      </c>
      <c r="B202" t="s">
        <v>34</v>
      </c>
      <c r="C202" t="s">
        <v>78</v>
      </c>
      <c r="D202" t="s">
        <v>24</v>
      </c>
      <c r="E202" t="s">
        <v>39</v>
      </c>
      <c r="F202" t="s">
        <v>12</v>
      </c>
      <c r="G202">
        <v>29</v>
      </c>
      <c r="H202" t="s">
        <v>138</v>
      </c>
      <c r="I202" t="s">
        <v>144</v>
      </c>
      <c r="J202" t="s">
        <v>13</v>
      </c>
      <c r="K202">
        <f>IF(AND(API_Cosevi[[#This Row],[Rol persona]]="Motociclista", OR(API_Cosevi[[#This Row],[Dia]]="Domingo", API_Cosevi[[#This Row],[Dia]]="Sabado")), 1, 0)</f>
        <v>0</v>
      </c>
      <c r="L202">
        <f>IF(AND(API_Cosevi[[#This Row],[Rol persona]]="Motociclista", OR(API_Cosevi[[#This Row],[Edad quinquenal]]="15 A 19", API_Cosevi[[#This Row],[Edad quinquenal]]="10 A 14")), 1, 0)</f>
        <v>0</v>
      </c>
    </row>
    <row r="203" spans="1:12" x14ac:dyDescent="0.3">
      <c r="A203" t="s">
        <v>8</v>
      </c>
      <c r="B203" t="s">
        <v>64</v>
      </c>
      <c r="C203" t="s">
        <v>101</v>
      </c>
      <c r="D203">
        <v>32</v>
      </c>
      <c r="E203" t="s">
        <v>16</v>
      </c>
      <c r="F203" t="s">
        <v>35</v>
      </c>
      <c r="G203">
        <v>15</v>
      </c>
      <c r="H203" t="s">
        <v>138</v>
      </c>
      <c r="I203" t="s">
        <v>144</v>
      </c>
      <c r="J203" t="s">
        <v>31</v>
      </c>
      <c r="K203">
        <f>IF(AND(API_Cosevi[[#This Row],[Rol persona]]="Motociclista", OR(API_Cosevi[[#This Row],[Dia]]="Domingo", API_Cosevi[[#This Row],[Dia]]="Sabado")), 1, 0)</f>
        <v>0</v>
      </c>
      <c r="L203">
        <f>IF(AND(API_Cosevi[[#This Row],[Rol persona]]="Motociclista", OR(API_Cosevi[[#This Row],[Edad quinquenal]]="15 A 19", API_Cosevi[[#This Row],[Edad quinquenal]]="10 A 14")), 1, 0)</f>
        <v>0</v>
      </c>
    </row>
    <row r="204" spans="1:12" x14ac:dyDescent="0.3">
      <c r="A204" t="s">
        <v>22</v>
      </c>
      <c r="B204" t="s">
        <v>34</v>
      </c>
      <c r="C204" t="s">
        <v>34</v>
      </c>
      <c r="D204">
        <v>39</v>
      </c>
      <c r="E204" t="s">
        <v>25</v>
      </c>
      <c r="F204" t="s">
        <v>12</v>
      </c>
      <c r="G204">
        <v>39</v>
      </c>
      <c r="H204" t="s">
        <v>138</v>
      </c>
      <c r="I204" t="s">
        <v>144</v>
      </c>
      <c r="J204" t="s">
        <v>32</v>
      </c>
      <c r="K204">
        <f>IF(AND(API_Cosevi[[#This Row],[Rol persona]]="Motociclista", OR(API_Cosevi[[#This Row],[Dia]]="Domingo", API_Cosevi[[#This Row],[Dia]]="Sabado")), 1, 0)</f>
        <v>0</v>
      </c>
      <c r="L204">
        <f>IF(AND(API_Cosevi[[#This Row],[Rol persona]]="Motociclista", OR(API_Cosevi[[#This Row],[Edad quinquenal]]="15 A 19", API_Cosevi[[#This Row],[Edad quinquenal]]="10 A 14")), 1, 0)</f>
        <v>0</v>
      </c>
    </row>
    <row r="205" spans="1:12" x14ac:dyDescent="0.3">
      <c r="A205" t="s">
        <v>22</v>
      </c>
      <c r="B205" t="s">
        <v>14</v>
      </c>
      <c r="C205" t="s">
        <v>18</v>
      </c>
      <c r="D205" t="s">
        <v>24</v>
      </c>
      <c r="E205" t="s">
        <v>11</v>
      </c>
      <c r="F205" t="s">
        <v>12</v>
      </c>
      <c r="G205">
        <v>29</v>
      </c>
      <c r="H205" t="s">
        <v>137</v>
      </c>
      <c r="I205" t="s">
        <v>144</v>
      </c>
      <c r="J205" t="s">
        <v>13</v>
      </c>
      <c r="K205">
        <f>IF(AND(API_Cosevi[[#This Row],[Rol persona]]="Motociclista", OR(API_Cosevi[[#This Row],[Dia]]="Domingo", API_Cosevi[[#This Row],[Dia]]="Sabado")), 1, 0)</f>
        <v>0</v>
      </c>
      <c r="L205">
        <f>IF(AND(API_Cosevi[[#This Row],[Rol persona]]="Motociclista", OR(API_Cosevi[[#This Row],[Edad quinquenal]]="15 A 19", API_Cosevi[[#This Row],[Edad quinquenal]]="10 A 14")), 1, 0)</f>
        <v>0</v>
      </c>
    </row>
    <row r="206" spans="1:12" x14ac:dyDescent="0.3">
      <c r="A206" t="s">
        <v>33</v>
      </c>
      <c r="B206" t="s">
        <v>29</v>
      </c>
      <c r="C206" t="s">
        <v>48</v>
      </c>
      <c r="D206">
        <v>250</v>
      </c>
      <c r="E206" t="s">
        <v>158</v>
      </c>
      <c r="F206" t="s">
        <v>102</v>
      </c>
      <c r="G206">
        <v>26</v>
      </c>
      <c r="H206" t="s">
        <v>137</v>
      </c>
      <c r="I206" t="s">
        <v>144</v>
      </c>
      <c r="J206" t="s">
        <v>13</v>
      </c>
      <c r="K206">
        <f>IF(AND(API_Cosevi[[#This Row],[Rol persona]]="Motociclista", OR(API_Cosevi[[#This Row],[Dia]]="Domingo", API_Cosevi[[#This Row],[Dia]]="Sabado")), 1, 0)</f>
        <v>0</v>
      </c>
      <c r="L206">
        <f>IF(AND(API_Cosevi[[#This Row],[Rol persona]]="Motociclista", OR(API_Cosevi[[#This Row],[Edad quinquenal]]="15 A 19", API_Cosevi[[#This Row],[Edad quinquenal]]="10 A 14")), 1, 0)</f>
        <v>0</v>
      </c>
    </row>
    <row r="207" spans="1:12" x14ac:dyDescent="0.3">
      <c r="A207" t="s">
        <v>38</v>
      </c>
      <c r="B207" t="s">
        <v>14</v>
      </c>
      <c r="C207" t="s">
        <v>14</v>
      </c>
      <c r="D207">
        <v>17</v>
      </c>
      <c r="E207" t="s">
        <v>39</v>
      </c>
      <c r="F207" t="s">
        <v>12</v>
      </c>
      <c r="G207">
        <v>55</v>
      </c>
      <c r="H207" t="s">
        <v>134</v>
      </c>
      <c r="I207" t="s">
        <v>144</v>
      </c>
      <c r="J207" t="s">
        <v>36</v>
      </c>
      <c r="K207">
        <f>IF(AND(API_Cosevi[[#This Row],[Rol persona]]="Motociclista", OR(API_Cosevi[[#This Row],[Dia]]="Domingo", API_Cosevi[[#This Row],[Dia]]="Sabado")), 1, 0)</f>
        <v>0</v>
      </c>
      <c r="L207">
        <f>IF(AND(API_Cosevi[[#This Row],[Rol persona]]="Motociclista", OR(API_Cosevi[[#This Row],[Edad quinquenal]]="15 A 19", API_Cosevi[[#This Row],[Edad quinquenal]]="10 A 14")), 1, 0)</f>
        <v>0</v>
      </c>
    </row>
    <row r="208" spans="1:12" x14ac:dyDescent="0.3">
      <c r="A208" t="s">
        <v>46</v>
      </c>
      <c r="B208" t="s">
        <v>9</v>
      </c>
      <c r="C208" t="s">
        <v>96</v>
      </c>
      <c r="D208" t="s">
        <v>24</v>
      </c>
      <c r="E208" t="s">
        <v>16</v>
      </c>
      <c r="F208" t="s">
        <v>12</v>
      </c>
      <c r="G208" t="s">
        <v>68</v>
      </c>
      <c r="H208" t="s">
        <v>132</v>
      </c>
      <c r="I208" t="s">
        <v>144</v>
      </c>
      <c r="J208" t="s">
        <v>68</v>
      </c>
      <c r="K208">
        <f>IF(AND(API_Cosevi[[#This Row],[Rol persona]]="Motociclista", OR(API_Cosevi[[#This Row],[Dia]]="Domingo", API_Cosevi[[#This Row],[Dia]]="Sabado")), 1, 0)</f>
        <v>0</v>
      </c>
      <c r="L208">
        <f>IF(AND(API_Cosevi[[#This Row],[Rol persona]]="Motociclista", OR(API_Cosevi[[#This Row],[Edad quinquenal]]="15 A 19", API_Cosevi[[#This Row],[Edad quinquenal]]="10 A 14")), 1, 0)</f>
        <v>0</v>
      </c>
    </row>
    <row r="209" spans="1:12" x14ac:dyDescent="0.3">
      <c r="A209" t="s">
        <v>8</v>
      </c>
      <c r="B209" t="s">
        <v>64</v>
      </c>
      <c r="C209" t="s">
        <v>73</v>
      </c>
      <c r="D209">
        <v>36</v>
      </c>
      <c r="E209" t="s">
        <v>11</v>
      </c>
      <c r="F209" t="s">
        <v>12</v>
      </c>
      <c r="G209">
        <v>33</v>
      </c>
      <c r="H209" t="s">
        <v>132</v>
      </c>
      <c r="I209" t="s">
        <v>144</v>
      </c>
      <c r="J209" t="s">
        <v>21</v>
      </c>
      <c r="K209">
        <f>IF(AND(API_Cosevi[[#This Row],[Rol persona]]="Motociclista", OR(API_Cosevi[[#This Row],[Dia]]="Domingo", API_Cosevi[[#This Row],[Dia]]="Sabado")), 1, 0)</f>
        <v>1</v>
      </c>
      <c r="L209">
        <f>IF(AND(API_Cosevi[[#This Row],[Rol persona]]="Motociclista", OR(API_Cosevi[[#This Row],[Edad quinquenal]]="15 A 19", API_Cosevi[[#This Row],[Edad quinquenal]]="10 A 14")), 1, 0)</f>
        <v>0</v>
      </c>
    </row>
    <row r="210" spans="1:12" x14ac:dyDescent="0.3">
      <c r="A210" t="s">
        <v>22</v>
      </c>
      <c r="B210" t="s">
        <v>29</v>
      </c>
      <c r="C210" t="s">
        <v>107</v>
      </c>
      <c r="D210" t="s">
        <v>24</v>
      </c>
      <c r="E210" t="s">
        <v>11</v>
      </c>
      <c r="F210" t="s">
        <v>12</v>
      </c>
      <c r="G210">
        <v>20</v>
      </c>
      <c r="H210" t="s">
        <v>138</v>
      </c>
      <c r="I210" t="s">
        <v>144</v>
      </c>
      <c r="J210" t="s">
        <v>17</v>
      </c>
      <c r="K210">
        <f>IF(AND(API_Cosevi[[#This Row],[Rol persona]]="Motociclista", OR(API_Cosevi[[#This Row],[Dia]]="Domingo", API_Cosevi[[#This Row],[Dia]]="Sabado")), 1, 0)</f>
        <v>1</v>
      </c>
      <c r="L210">
        <f>IF(AND(API_Cosevi[[#This Row],[Rol persona]]="Motociclista", OR(API_Cosevi[[#This Row],[Edad quinquenal]]="15 A 19", API_Cosevi[[#This Row],[Edad quinquenal]]="10 A 14")), 1, 0)</f>
        <v>0</v>
      </c>
    </row>
    <row r="211" spans="1:12" x14ac:dyDescent="0.3">
      <c r="A211" t="s">
        <v>38</v>
      </c>
      <c r="B211" t="s">
        <v>34</v>
      </c>
      <c r="C211" t="s">
        <v>34</v>
      </c>
      <c r="D211">
        <v>39</v>
      </c>
      <c r="E211" t="s">
        <v>39</v>
      </c>
      <c r="F211" t="s">
        <v>12</v>
      </c>
      <c r="G211">
        <v>53</v>
      </c>
      <c r="H211" t="s">
        <v>138</v>
      </c>
      <c r="I211" t="s">
        <v>144</v>
      </c>
      <c r="J211" t="s">
        <v>60</v>
      </c>
      <c r="K211">
        <f>IF(AND(API_Cosevi[[#This Row],[Rol persona]]="Motociclista", OR(API_Cosevi[[#This Row],[Dia]]="Domingo", API_Cosevi[[#This Row],[Dia]]="Sabado")), 1, 0)</f>
        <v>0</v>
      </c>
      <c r="L211">
        <f>IF(AND(API_Cosevi[[#This Row],[Rol persona]]="Motociclista", OR(API_Cosevi[[#This Row],[Edad quinquenal]]="15 A 19", API_Cosevi[[#This Row],[Edad quinquenal]]="10 A 14")), 1, 0)</f>
        <v>0</v>
      </c>
    </row>
    <row r="212" spans="1:12" x14ac:dyDescent="0.3">
      <c r="A212" t="s">
        <v>22</v>
      </c>
      <c r="B212" t="s">
        <v>14</v>
      </c>
      <c r="C212" t="s">
        <v>18</v>
      </c>
      <c r="D212">
        <v>2</v>
      </c>
      <c r="E212" t="s">
        <v>16</v>
      </c>
      <c r="F212" t="s">
        <v>35</v>
      </c>
      <c r="G212">
        <v>38</v>
      </c>
      <c r="H212" t="s">
        <v>138</v>
      </c>
      <c r="I212" t="s">
        <v>144</v>
      </c>
      <c r="J212" t="s">
        <v>32</v>
      </c>
      <c r="K212">
        <f>IF(AND(API_Cosevi[[#This Row],[Rol persona]]="Motociclista", OR(API_Cosevi[[#This Row],[Dia]]="Domingo", API_Cosevi[[#This Row],[Dia]]="Sabado")), 1, 0)</f>
        <v>0</v>
      </c>
      <c r="L212">
        <f>IF(AND(API_Cosevi[[#This Row],[Rol persona]]="Motociclista", OR(API_Cosevi[[#This Row],[Edad quinquenal]]="15 A 19", API_Cosevi[[#This Row],[Edad quinquenal]]="10 A 14")), 1, 0)</f>
        <v>0</v>
      </c>
    </row>
    <row r="213" spans="1:12" x14ac:dyDescent="0.3">
      <c r="A213" t="s">
        <v>22</v>
      </c>
      <c r="B213" t="s">
        <v>50</v>
      </c>
      <c r="C213" t="s">
        <v>108</v>
      </c>
      <c r="D213" t="s">
        <v>24</v>
      </c>
      <c r="E213" t="s">
        <v>11</v>
      </c>
      <c r="F213" t="s">
        <v>35</v>
      </c>
      <c r="G213">
        <v>46</v>
      </c>
      <c r="H213" t="s">
        <v>138</v>
      </c>
      <c r="I213" t="s">
        <v>144</v>
      </c>
      <c r="J213" t="s">
        <v>19</v>
      </c>
      <c r="K213">
        <f>IF(AND(API_Cosevi[[#This Row],[Rol persona]]="Motociclista", OR(API_Cosevi[[#This Row],[Dia]]="Domingo", API_Cosevi[[#This Row],[Dia]]="Sabado")), 1, 0)</f>
        <v>1</v>
      </c>
      <c r="L213">
        <f>IF(AND(API_Cosevi[[#This Row],[Rol persona]]="Motociclista", OR(API_Cosevi[[#This Row],[Edad quinquenal]]="15 A 19", API_Cosevi[[#This Row],[Edad quinquenal]]="10 A 14")), 1, 0)</f>
        <v>0</v>
      </c>
    </row>
    <row r="214" spans="1:12" x14ac:dyDescent="0.3">
      <c r="A214" t="s">
        <v>8</v>
      </c>
      <c r="B214" t="s">
        <v>14</v>
      </c>
      <c r="C214" t="s">
        <v>88</v>
      </c>
      <c r="D214" t="s">
        <v>24</v>
      </c>
      <c r="E214" t="s">
        <v>16</v>
      </c>
      <c r="F214" t="s">
        <v>12</v>
      </c>
      <c r="G214">
        <v>35</v>
      </c>
      <c r="H214" t="s">
        <v>136</v>
      </c>
      <c r="I214" t="s">
        <v>144</v>
      </c>
      <c r="J214" t="s">
        <v>32</v>
      </c>
      <c r="K214">
        <f>IF(AND(API_Cosevi[[#This Row],[Rol persona]]="Motociclista", OR(API_Cosevi[[#This Row],[Dia]]="Domingo", API_Cosevi[[#This Row],[Dia]]="Sabado")), 1, 0)</f>
        <v>0</v>
      </c>
      <c r="L214">
        <f>IF(AND(API_Cosevi[[#This Row],[Rol persona]]="Motociclista", OR(API_Cosevi[[#This Row],[Edad quinquenal]]="15 A 19", API_Cosevi[[#This Row],[Edad quinquenal]]="10 A 14")), 1, 0)</f>
        <v>0</v>
      </c>
    </row>
    <row r="215" spans="1:12" x14ac:dyDescent="0.3">
      <c r="A215" t="s">
        <v>8</v>
      </c>
      <c r="B215" t="s">
        <v>29</v>
      </c>
      <c r="C215" t="s">
        <v>74</v>
      </c>
      <c r="D215">
        <v>4</v>
      </c>
      <c r="E215" t="s">
        <v>11</v>
      </c>
      <c r="F215" t="s">
        <v>12</v>
      </c>
      <c r="G215">
        <v>44</v>
      </c>
      <c r="H215" t="s">
        <v>135</v>
      </c>
      <c r="I215" t="s">
        <v>144</v>
      </c>
      <c r="J215" t="s">
        <v>28</v>
      </c>
      <c r="K215">
        <f>IF(AND(API_Cosevi[[#This Row],[Rol persona]]="Motociclista", OR(API_Cosevi[[#This Row],[Dia]]="Domingo", API_Cosevi[[#This Row],[Dia]]="Sabado")), 1, 0)</f>
        <v>0</v>
      </c>
      <c r="L215">
        <f>IF(AND(API_Cosevi[[#This Row],[Rol persona]]="Motociclista", OR(API_Cosevi[[#This Row],[Edad quinquenal]]="15 A 19", API_Cosevi[[#This Row],[Edad quinquenal]]="10 A 14")), 1, 0)</f>
        <v>0</v>
      </c>
    </row>
    <row r="216" spans="1:12" x14ac:dyDescent="0.3">
      <c r="A216" t="s">
        <v>33</v>
      </c>
      <c r="B216" t="s">
        <v>34</v>
      </c>
      <c r="C216" t="s">
        <v>109</v>
      </c>
      <c r="D216">
        <v>39</v>
      </c>
      <c r="E216" t="s">
        <v>158</v>
      </c>
      <c r="F216" t="s">
        <v>12</v>
      </c>
      <c r="G216">
        <v>23</v>
      </c>
      <c r="H216" t="s">
        <v>135</v>
      </c>
      <c r="I216" t="s">
        <v>144</v>
      </c>
      <c r="J216" t="s">
        <v>17</v>
      </c>
      <c r="K216">
        <f>IF(AND(API_Cosevi[[#This Row],[Rol persona]]="Motociclista", OR(API_Cosevi[[#This Row],[Dia]]="Domingo", API_Cosevi[[#This Row],[Dia]]="Sabado")), 1, 0)</f>
        <v>0</v>
      </c>
      <c r="L216">
        <f>IF(AND(API_Cosevi[[#This Row],[Rol persona]]="Motociclista", OR(API_Cosevi[[#This Row],[Edad quinquenal]]="15 A 19", API_Cosevi[[#This Row],[Edad quinquenal]]="10 A 14")), 1, 0)</f>
        <v>0</v>
      </c>
    </row>
    <row r="217" spans="1:12" x14ac:dyDescent="0.3">
      <c r="A217" t="s">
        <v>8</v>
      </c>
      <c r="B217" t="s">
        <v>29</v>
      </c>
      <c r="C217" t="s">
        <v>48</v>
      </c>
      <c r="D217">
        <v>142</v>
      </c>
      <c r="E217" t="s">
        <v>11</v>
      </c>
      <c r="F217" t="s">
        <v>12</v>
      </c>
      <c r="G217">
        <v>27</v>
      </c>
      <c r="H217" t="s">
        <v>133</v>
      </c>
      <c r="I217" t="s">
        <v>144</v>
      </c>
      <c r="J217" t="s">
        <v>13</v>
      </c>
      <c r="K217">
        <f>IF(AND(API_Cosevi[[#This Row],[Rol persona]]="Motociclista", OR(API_Cosevi[[#This Row],[Dia]]="Domingo", API_Cosevi[[#This Row],[Dia]]="Sabado")), 1, 0)</f>
        <v>0</v>
      </c>
      <c r="L217">
        <f>IF(AND(API_Cosevi[[#This Row],[Rol persona]]="Motociclista", OR(API_Cosevi[[#This Row],[Edad quinquenal]]="15 A 19", API_Cosevi[[#This Row],[Edad quinquenal]]="10 A 14")), 1, 0)</f>
        <v>0</v>
      </c>
    </row>
    <row r="218" spans="1:12" x14ac:dyDescent="0.3">
      <c r="A218" t="s">
        <v>8</v>
      </c>
      <c r="B218" t="s">
        <v>50</v>
      </c>
      <c r="C218" t="s">
        <v>50</v>
      </c>
      <c r="D218">
        <v>10</v>
      </c>
      <c r="E218" t="s">
        <v>11</v>
      </c>
      <c r="F218" t="s">
        <v>12</v>
      </c>
      <c r="G218">
        <v>30</v>
      </c>
      <c r="H218" t="s">
        <v>132</v>
      </c>
      <c r="I218" t="s">
        <v>144</v>
      </c>
      <c r="J218" t="s">
        <v>21</v>
      </c>
      <c r="K218">
        <f>IF(AND(API_Cosevi[[#This Row],[Rol persona]]="Motociclista", OR(API_Cosevi[[#This Row],[Dia]]="Domingo", API_Cosevi[[#This Row],[Dia]]="Sabado")), 1, 0)</f>
        <v>1</v>
      </c>
      <c r="L218">
        <f>IF(AND(API_Cosevi[[#This Row],[Rol persona]]="Motociclista", OR(API_Cosevi[[#This Row],[Edad quinquenal]]="15 A 19", API_Cosevi[[#This Row],[Edad quinquenal]]="10 A 14")), 1, 0)</f>
        <v>0</v>
      </c>
    </row>
    <row r="219" spans="1:12" x14ac:dyDescent="0.3">
      <c r="A219" t="s">
        <v>33</v>
      </c>
      <c r="B219" t="s">
        <v>50</v>
      </c>
      <c r="C219" t="s">
        <v>110</v>
      </c>
      <c r="D219" t="s">
        <v>24</v>
      </c>
      <c r="E219" t="s">
        <v>158</v>
      </c>
      <c r="F219" t="s">
        <v>35</v>
      </c>
      <c r="G219">
        <v>81</v>
      </c>
      <c r="H219" t="s">
        <v>132</v>
      </c>
      <c r="I219" t="s">
        <v>144</v>
      </c>
      <c r="J219" t="s">
        <v>42</v>
      </c>
      <c r="K219">
        <f>IF(AND(API_Cosevi[[#This Row],[Rol persona]]="Motociclista", OR(API_Cosevi[[#This Row],[Dia]]="Domingo", API_Cosevi[[#This Row],[Dia]]="Sabado")), 1, 0)</f>
        <v>0</v>
      </c>
      <c r="L219">
        <f>IF(AND(API_Cosevi[[#This Row],[Rol persona]]="Motociclista", OR(API_Cosevi[[#This Row],[Edad quinquenal]]="15 A 19", API_Cosevi[[#This Row],[Edad quinquenal]]="10 A 14")), 1, 0)</f>
        <v>0</v>
      </c>
    </row>
    <row r="220" spans="1:12" x14ac:dyDescent="0.3">
      <c r="A220" t="s">
        <v>8</v>
      </c>
      <c r="B220" t="s">
        <v>9</v>
      </c>
      <c r="C220" t="s">
        <v>96</v>
      </c>
      <c r="D220">
        <v>933</v>
      </c>
      <c r="E220" t="s">
        <v>11</v>
      </c>
      <c r="F220" t="s">
        <v>12</v>
      </c>
      <c r="G220">
        <v>26</v>
      </c>
      <c r="H220" t="s">
        <v>132</v>
      </c>
      <c r="I220" t="s">
        <v>144</v>
      </c>
      <c r="J220" t="s">
        <v>13</v>
      </c>
      <c r="K220">
        <f>IF(AND(API_Cosevi[[#This Row],[Rol persona]]="Motociclista", OR(API_Cosevi[[#This Row],[Dia]]="Domingo", API_Cosevi[[#This Row],[Dia]]="Sabado")), 1, 0)</f>
        <v>1</v>
      </c>
      <c r="L220">
        <f>IF(AND(API_Cosevi[[#This Row],[Rol persona]]="Motociclista", OR(API_Cosevi[[#This Row],[Edad quinquenal]]="15 A 19", API_Cosevi[[#This Row],[Edad quinquenal]]="10 A 14")), 1, 0)</f>
        <v>0</v>
      </c>
    </row>
    <row r="221" spans="1:12" x14ac:dyDescent="0.3">
      <c r="A221" t="s">
        <v>8</v>
      </c>
      <c r="B221" t="s">
        <v>29</v>
      </c>
      <c r="C221" t="s">
        <v>48</v>
      </c>
      <c r="D221">
        <v>250</v>
      </c>
      <c r="E221" t="s">
        <v>11</v>
      </c>
      <c r="F221" t="s">
        <v>35</v>
      </c>
      <c r="G221">
        <v>17</v>
      </c>
      <c r="H221" t="s">
        <v>132</v>
      </c>
      <c r="I221" t="s">
        <v>144</v>
      </c>
      <c r="J221" t="s">
        <v>31</v>
      </c>
      <c r="K221">
        <f>IF(AND(API_Cosevi[[#This Row],[Rol persona]]="Motociclista", OR(API_Cosevi[[#This Row],[Dia]]="Domingo", API_Cosevi[[#This Row],[Dia]]="Sabado")), 1, 0)</f>
        <v>1</v>
      </c>
      <c r="L221">
        <f>IF(AND(API_Cosevi[[#This Row],[Rol persona]]="Motociclista", OR(API_Cosevi[[#This Row],[Edad quinquenal]]="15 A 19", API_Cosevi[[#This Row],[Edad quinquenal]]="10 A 14")), 1, 0)</f>
        <v>1</v>
      </c>
    </row>
    <row r="222" spans="1:12" x14ac:dyDescent="0.3">
      <c r="A222" t="s">
        <v>8</v>
      </c>
      <c r="B222" t="s">
        <v>34</v>
      </c>
      <c r="C222" t="s">
        <v>111</v>
      </c>
      <c r="D222">
        <v>32</v>
      </c>
      <c r="E222" t="s">
        <v>25</v>
      </c>
      <c r="F222" t="s">
        <v>12</v>
      </c>
      <c r="G222">
        <v>46</v>
      </c>
      <c r="H222" t="s">
        <v>132</v>
      </c>
      <c r="I222" t="s">
        <v>144</v>
      </c>
      <c r="J222" t="s">
        <v>19</v>
      </c>
      <c r="K222">
        <f>IF(AND(API_Cosevi[[#This Row],[Rol persona]]="Motociclista", OR(API_Cosevi[[#This Row],[Dia]]="Domingo", API_Cosevi[[#This Row],[Dia]]="Sabado")), 1, 0)</f>
        <v>0</v>
      </c>
      <c r="L222">
        <f>IF(AND(API_Cosevi[[#This Row],[Rol persona]]="Motociclista", OR(API_Cosevi[[#This Row],[Edad quinquenal]]="15 A 19", API_Cosevi[[#This Row],[Edad quinquenal]]="10 A 14")), 1, 0)</f>
        <v>0</v>
      </c>
    </row>
    <row r="223" spans="1:12" x14ac:dyDescent="0.3">
      <c r="A223" t="s">
        <v>8</v>
      </c>
      <c r="B223" t="s">
        <v>64</v>
      </c>
      <c r="C223" t="s">
        <v>65</v>
      </c>
      <c r="D223" t="s">
        <v>24</v>
      </c>
      <c r="E223" t="s">
        <v>11</v>
      </c>
      <c r="F223" t="s">
        <v>12</v>
      </c>
      <c r="G223">
        <v>44</v>
      </c>
      <c r="H223" t="s">
        <v>132</v>
      </c>
      <c r="I223" t="s">
        <v>144</v>
      </c>
      <c r="J223" t="s">
        <v>28</v>
      </c>
      <c r="K223">
        <f>IF(AND(API_Cosevi[[#This Row],[Rol persona]]="Motociclista", OR(API_Cosevi[[#This Row],[Dia]]="Domingo", API_Cosevi[[#This Row],[Dia]]="Sabado")), 1, 0)</f>
        <v>1</v>
      </c>
      <c r="L223">
        <f>IF(AND(API_Cosevi[[#This Row],[Rol persona]]="Motociclista", OR(API_Cosevi[[#This Row],[Edad quinquenal]]="15 A 19", API_Cosevi[[#This Row],[Edad quinquenal]]="10 A 14")), 1, 0)</f>
        <v>0</v>
      </c>
    </row>
    <row r="224" spans="1:12" x14ac:dyDescent="0.3">
      <c r="A224" t="s">
        <v>38</v>
      </c>
      <c r="B224" t="s">
        <v>64</v>
      </c>
      <c r="C224" t="s">
        <v>101</v>
      </c>
      <c r="D224">
        <v>806</v>
      </c>
      <c r="E224" t="s">
        <v>39</v>
      </c>
      <c r="F224" t="s">
        <v>12</v>
      </c>
      <c r="G224">
        <v>62</v>
      </c>
      <c r="H224" t="s">
        <v>138</v>
      </c>
      <c r="I224" t="s">
        <v>144</v>
      </c>
      <c r="J224" t="s">
        <v>49</v>
      </c>
      <c r="K224">
        <f>IF(AND(API_Cosevi[[#This Row],[Rol persona]]="Motociclista", OR(API_Cosevi[[#This Row],[Dia]]="Domingo", API_Cosevi[[#This Row],[Dia]]="Sabado")), 1, 0)</f>
        <v>0</v>
      </c>
      <c r="L224">
        <f>IF(AND(API_Cosevi[[#This Row],[Rol persona]]="Motociclista", OR(API_Cosevi[[#This Row],[Edad quinquenal]]="15 A 19", API_Cosevi[[#This Row],[Edad quinquenal]]="10 A 14")), 1, 0)</f>
        <v>0</v>
      </c>
    </row>
    <row r="225" spans="1:12" x14ac:dyDescent="0.3">
      <c r="A225" t="s">
        <v>8</v>
      </c>
      <c r="B225" t="s">
        <v>14</v>
      </c>
      <c r="C225" t="s">
        <v>18</v>
      </c>
      <c r="D225">
        <v>34</v>
      </c>
      <c r="E225" t="s">
        <v>25</v>
      </c>
      <c r="F225" t="s">
        <v>12</v>
      </c>
      <c r="G225">
        <v>30</v>
      </c>
      <c r="H225" t="s">
        <v>136</v>
      </c>
      <c r="I225" t="s">
        <v>144</v>
      </c>
      <c r="J225" t="s">
        <v>21</v>
      </c>
      <c r="K225">
        <f>IF(AND(API_Cosevi[[#This Row],[Rol persona]]="Motociclista", OR(API_Cosevi[[#This Row],[Dia]]="Domingo", API_Cosevi[[#This Row],[Dia]]="Sabado")), 1, 0)</f>
        <v>0</v>
      </c>
      <c r="L225">
        <f>IF(AND(API_Cosevi[[#This Row],[Rol persona]]="Motociclista", OR(API_Cosevi[[#This Row],[Edad quinquenal]]="15 A 19", API_Cosevi[[#This Row],[Edad quinquenal]]="10 A 14")), 1, 0)</f>
        <v>0</v>
      </c>
    </row>
    <row r="226" spans="1:12" x14ac:dyDescent="0.3">
      <c r="A226" t="s">
        <v>33</v>
      </c>
      <c r="B226" t="s">
        <v>50</v>
      </c>
      <c r="C226" t="s">
        <v>58</v>
      </c>
      <c r="D226">
        <v>2</v>
      </c>
      <c r="E226" t="s">
        <v>158</v>
      </c>
      <c r="F226" t="s">
        <v>12</v>
      </c>
      <c r="G226">
        <v>30</v>
      </c>
      <c r="H226" t="s">
        <v>136</v>
      </c>
      <c r="I226" t="s">
        <v>144</v>
      </c>
      <c r="J226" t="s">
        <v>21</v>
      </c>
      <c r="K226">
        <f>IF(AND(API_Cosevi[[#This Row],[Rol persona]]="Motociclista", OR(API_Cosevi[[#This Row],[Dia]]="Domingo", API_Cosevi[[#This Row],[Dia]]="Sabado")), 1, 0)</f>
        <v>0</v>
      </c>
      <c r="L226">
        <f>IF(AND(API_Cosevi[[#This Row],[Rol persona]]="Motociclista", OR(API_Cosevi[[#This Row],[Edad quinquenal]]="15 A 19", API_Cosevi[[#This Row],[Edad quinquenal]]="10 A 14")), 1, 0)</f>
        <v>0</v>
      </c>
    </row>
    <row r="227" spans="1:12" x14ac:dyDescent="0.3">
      <c r="A227" t="s">
        <v>33</v>
      </c>
      <c r="B227" t="s">
        <v>14</v>
      </c>
      <c r="C227" t="s">
        <v>14</v>
      </c>
      <c r="D227" t="s">
        <v>24</v>
      </c>
      <c r="E227" t="s">
        <v>158</v>
      </c>
      <c r="F227" t="s">
        <v>12</v>
      </c>
      <c r="G227" t="s">
        <v>68</v>
      </c>
      <c r="H227" t="s">
        <v>134</v>
      </c>
      <c r="I227" t="s">
        <v>144</v>
      </c>
      <c r="J227" t="s">
        <v>68</v>
      </c>
      <c r="K227">
        <f>IF(AND(API_Cosevi[[#This Row],[Rol persona]]="Motociclista", OR(API_Cosevi[[#This Row],[Dia]]="Domingo", API_Cosevi[[#This Row],[Dia]]="Sabado")), 1, 0)</f>
        <v>0</v>
      </c>
      <c r="L227">
        <f>IF(AND(API_Cosevi[[#This Row],[Rol persona]]="Motociclista", OR(API_Cosevi[[#This Row],[Edad quinquenal]]="15 A 19", API_Cosevi[[#This Row],[Edad quinquenal]]="10 A 14")), 1, 0)</f>
        <v>0</v>
      </c>
    </row>
    <row r="228" spans="1:12" x14ac:dyDescent="0.3">
      <c r="A228" t="s">
        <v>38</v>
      </c>
      <c r="B228" t="s">
        <v>64</v>
      </c>
      <c r="C228" t="s">
        <v>73</v>
      </c>
      <c r="D228">
        <v>36</v>
      </c>
      <c r="E228" t="s">
        <v>39</v>
      </c>
      <c r="F228" t="s">
        <v>12</v>
      </c>
      <c r="G228" t="s">
        <v>68</v>
      </c>
      <c r="H228" t="s">
        <v>134</v>
      </c>
      <c r="I228" t="s">
        <v>144</v>
      </c>
      <c r="J228" t="s">
        <v>68</v>
      </c>
      <c r="K228">
        <f>IF(AND(API_Cosevi[[#This Row],[Rol persona]]="Motociclista", OR(API_Cosevi[[#This Row],[Dia]]="Domingo", API_Cosevi[[#This Row],[Dia]]="Sabado")), 1, 0)</f>
        <v>0</v>
      </c>
      <c r="L228">
        <f>IF(AND(API_Cosevi[[#This Row],[Rol persona]]="Motociclista", OR(API_Cosevi[[#This Row],[Edad quinquenal]]="15 A 19", API_Cosevi[[#This Row],[Edad quinquenal]]="10 A 14")), 1, 0)</f>
        <v>0</v>
      </c>
    </row>
    <row r="229" spans="1:12" x14ac:dyDescent="0.3">
      <c r="A229" t="s">
        <v>22</v>
      </c>
      <c r="B229" t="s">
        <v>34</v>
      </c>
      <c r="C229" t="s">
        <v>84</v>
      </c>
      <c r="D229">
        <v>2</v>
      </c>
      <c r="E229" t="s">
        <v>16</v>
      </c>
      <c r="F229" t="s">
        <v>12</v>
      </c>
      <c r="G229">
        <v>19</v>
      </c>
      <c r="H229" t="s">
        <v>132</v>
      </c>
      <c r="I229" t="s">
        <v>144</v>
      </c>
      <c r="J229" t="s">
        <v>31</v>
      </c>
      <c r="K229">
        <f>IF(AND(API_Cosevi[[#This Row],[Rol persona]]="Motociclista", OR(API_Cosevi[[#This Row],[Dia]]="Domingo", API_Cosevi[[#This Row],[Dia]]="Sabado")), 1, 0)</f>
        <v>0</v>
      </c>
      <c r="L229">
        <f>IF(AND(API_Cosevi[[#This Row],[Rol persona]]="Motociclista", OR(API_Cosevi[[#This Row],[Edad quinquenal]]="15 A 19", API_Cosevi[[#This Row],[Edad quinquenal]]="10 A 14")), 1, 0)</f>
        <v>0</v>
      </c>
    </row>
    <row r="230" spans="1:12" x14ac:dyDescent="0.3">
      <c r="A230" t="s">
        <v>38</v>
      </c>
      <c r="B230" t="s">
        <v>64</v>
      </c>
      <c r="C230" t="s">
        <v>101</v>
      </c>
      <c r="D230">
        <v>32</v>
      </c>
      <c r="E230" t="s">
        <v>39</v>
      </c>
      <c r="F230" t="s">
        <v>12</v>
      </c>
      <c r="G230">
        <v>54</v>
      </c>
      <c r="H230" t="s">
        <v>132</v>
      </c>
      <c r="I230" t="s">
        <v>144</v>
      </c>
      <c r="J230" t="s">
        <v>60</v>
      </c>
      <c r="K230">
        <f>IF(AND(API_Cosevi[[#This Row],[Rol persona]]="Motociclista", OR(API_Cosevi[[#This Row],[Dia]]="Domingo", API_Cosevi[[#This Row],[Dia]]="Sabado")), 1, 0)</f>
        <v>0</v>
      </c>
      <c r="L230">
        <f>IF(AND(API_Cosevi[[#This Row],[Rol persona]]="Motociclista", OR(API_Cosevi[[#This Row],[Edad quinquenal]]="15 A 19", API_Cosevi[[#This Row],[Edad quinquenal]]="10 A 14")), 1, 0)</f>
        <v>0</v>
      </c>
    </row>
    <row r="231" spans="1:12" x14ac:dyDescent="0.3">
      <c r="A231" t="s">
        <v>38</v>
      </c>
      <c r="B231" t="s">
        <v>14</v>
      </c>
      <c r="C231" t="s">
        <v>61</v>
      </c>
      <c r="D231">
        <v>34</v>
      </c>
      <c r="E231" t="s">
        <v>39</v>
      </c>
      <c r="F231" t="s">
        <v>12</v>
      </c>
      <c r="G231">
        <v>67</v>
      </c>
      <c r="H231" t="s">
        <v>132</v>
      </c>
      <c r="I231" t="s">
        <v>144</v>
      </c>
      <c r="J231" t="s">
        <v>27</v>
      </c>
      <c r="K231">
        <f>IF(AND(API_Cosevi[[#This Row],[Rol persona]]="Motociclista", OR(API_Cosevi[[#This Row],[Dia]]="Domingo", API_Cosevi[[#This Row],[Dia]]="Sabado")), 1, 0)</f>
        <v>0</v>
      </c>
      <c r="L231">
        <f>IF(AND(API_Cosevi[[#This Row],[Rol persona]]="Motociclista", OR(API_Cosevi[[#This Row],[Edad quinquenal]]="15 A 19", API_Cosevi[[#This Row],[Edad quinquenal]]="10 A 14")), 1, 0)</f>
        <v>0</v>
      </c>
    </row>
    <row r="232" spans="1:12" x14ac:dyDescent="0.3">
      <c r="A232" t="s">
        <v>33</v>
      </c>
      <c r="B232" t="s">
        <v>34</v>
      </c>
      <c r="C232" t="s">
        <v>34</v>
      </c>
      <c r="D232" t="s">
        <v>24</v>
      </c>
      <c r="E232" t="s">
        <v>158</v>
      </c>
      <c r="F232" t="s">
        <v>12</v>
      </c>
      <c r="G232">
        <v>29</v>
      </c>
      <c r="H232" t="s">
        <v>138</v>
      </c>
      <c r="I232" t="s">
        <v>144</v>
      </c>
      <c r="J232" t="s">
        <v>13</v>
      </c>
      <c r="K232">
        <f>IF(AND(API_Cosevi[[#This Row],[Rol persona]]="Motociclista", OR(API_Cosevi[[#This Row],[Dia]]="Domingo", API_Cosevi[[#This Row],[Dia]]="Sabado")), 1, 0)</f>
        <v>0</v>
      </c>
      <c r="L232">
        <f>IF(AND(API_Cosevi[[#This Row],[Rol persona]]="Motociclista", OR(API_Cosevi[[#This Row],[Edad quinquenal]]="15 A 19", API_Cosevi[[#This Row],[Edad quinquenal]]="10 A 14")), 1, 0)</f>
        <v>0</v>
      </c>
    </row>
    <row r="233" spans="1:12" x14ac:dyDescent="0.3">
      <c r="A233" t="s">
        <v>38</v>
      </c>
      <c r="B233" t="s">
        <v>29</v>
      </c>
      <c r="C233" t="s">
        <v>29</v>
      </c>
      <c r="D233" t="s">
        <v>24</v>
      </c>
      <c r="E233" t="s">
        <v>39</v>
      </c>
      <c r="F233" t="s">
        <v>12</v>
      </c>
      <c r="G233">
        <v>42</v>
      </c>
      <c r="H233" t="s">
        <v>137</v>
      </c>
      <c r="I233" t="s">
        <v>145</v>
      </c>
      <c r="J233" t="s">
        <v>28</v>
      </c>
      <c r="K233">
        <f>IF(AND(API_Cosevi[[#This Row],[Rol persona]]="Motociclista", OR(API_Cosevi[[#This Row],[Dia]]="Domingo", API_Cosevi[[#This Row],[Dia]]="Sabado")), 1, 0)</f>
        <v>0</v>
      </c>
      <c r="L233">
        <f>IF(AND(API_Cosevi[[#This Row],[Rol persona]]="Motociclista", OR(API_Cosevi[[#This Row],[Edad quinquenal]]="15 A 19", API_Cosevi[[#This Row],[Edad quinquenal]]="10 A 14")), 1, 0)</f>
        <v>0</v>
      </c>
    </row>
    <row r="234" spans="1:12" x14ac:dyDescent="0.3">
      <c r="A234" t="s">
        <v>22</v>
      </c>
      <c r="B234" t="s">
        <v>14</v>
      </c>
      <c r="C234" t="s">
        <v>67</v>
      </c>
      <c r="D234" t="s">
        <v>24</v>
      </c>
      <c r="E234" t="s">
        <v>62</v>
      </c>
      <c r="F234" t="s">
        <v>35</v>
      </c>
      <c r="G234">
        <v>19</v>
      </c>
      <c r="H234" t="s">
        <v>136</v>
      </c>
      <c r="I234" t="s">
        <v>145</v>
      </c>
      <c r="J234" t="s">
        <v>31</v>
      </c>
      <c r="K234">
        <f>IF(AND(API_Cosevi[[#This Row],[Rol persona]]="Motociclista", OR(API_Cosevi[[#This Row],[Dia]]="Domingo", API_Cosevi[[#This Row],[Dia]]="Sabado")), 1, 0)</f>
        <v>0</v>
      </c>
      <c r="L234">
        <f>IF(AND(API_Cosevi[[#This Row],[Rol persona]]="Motociclista", OR(API_Cosevi[[#This Row],[Edad quinquenal]]="15 A 19", API_Cosevi[[#This Row],[Edad quinquenal]]="10 A 14")), 1, 0)</f>
        <v>0</v>
      </c>
    </row>
    <row r="235" spans="1:12" x14ac:dyDescent="0.3">
      <c r="A235" t="s">
        <v>22</v>
      </c>
      <c r="B235" t="s">
        <v>29</v>
      </c>
      <c r="C235" t="s">
        <v>29</v>
      </c>
      <c r="D235" t="s">
        <v>24</v>
      </c>
      <c r="E235" t="s">
        <v>11</v>
      </c>
      <c r="F235" t="s">
        <v>12</v>
      </c>
      <c r="G235">
        <v>24</v>
      </c>
      <c r="H235" t="s">
        <v>136</v>
      </c>
      <c r="I235" t="s">
        <v>145</v>
      </c>
      <c r="J235" t="s">
        <v>17</v>
      </c>
      <c r="K235">
        <f>IF(AND(API_Cosevi[[#This Row],[Rol persona]]="Motociclista", OR(API_Cosevi[[#This Row],[Dia]]="Domingo", API_Cosevi[[#This Row],[Dia]]="Sabado")), 1, 0)</f>
        <v>0</v>
      </c>
      <c r="L235">
        <f>IF(AND(API_Cosevi[[#This Row],[Rol persona]]="Motociclista", OR(API_Cosevi[[#This Row],[Edad quinquenal]]="15 A 19", API_Cosevi[[#This Row],[Edad quinquenal]]="10 A 14")), 1, 0)</f>
        <v>0</v>
      </c>
    </row>
    <row r="236" spans="1:12" x14ac:dyDescent="0.3">
      <c r="A236" t="s">
        <v>8</v>
      </c>
      <c r="B236" t="s">
        <v>29</v>
      </c>
      <c r="C236" t="s">
        <v>93</v>
      </c>
      <c r="D236">
        <v>1</v>
      </c>
      <c r="E236" t="s">
        <v>25</v>
      </c>
      <c r="F236" t="s">
        <v>12</v>
      </c>
      <c r="G236" t="s">
        <v>68</v>
      </c>
      <c r="H236" t="s">
        <v>134</v>
      </c>
      <c r="I236" t="s">
        <v>145</v>
      </c>
      <c r="J236" t="s">
        <v>68</v>
      </c>
      <c r="K236">
        <f>IF(AND(API_Cosevi[[#This Row],[Rol persona]]="Motociclista", OR(API_Cosevi[[#This Row],[Dia]]="Domingo", API_Cosevi[[#This Row],[Dia]]="Sabado")), 1, 0)</f>
        <v>0</v>
      </c>
      <c r="L236">
        <f>IF(AND(API_Cosevi[[#This Row],[Rol persona]]="Motociclista", OR(API_Cosevi[[#This Row],[Edad quinquenal]]="15 A 19", API_Cosevi[[#This Row],[Edad quinquenal]]="10 A 14")), 1, 0)</f>
        <v>0</v>
      </c>
    </row>
    <row r="237" spans="1:12" x14ac:dyDescent="0.3">
      <c r="A237" t="s">
        <v>8</v>
      </c>
      <c r="B237" t="s">
        <v>34</v>
      </c>
      <c r="C237" t="s">
        <v>111</v>
      </c>
      <c r="D237">
        <v>32</v>
      </c>
      <c r="E237" t="s">
        <v>25</v>
      </c>
      <c r="F237" t="s">
        <v>12</v>
      </c>
      <c r="G237">
        <v>37</v>
      </c>
      <c r="H237" t="s">
        <v>134</v>
      </c>
      <c r="I237" t="s">
        <v>145</v>
      </c>
      <c r="J237" t="s">
        <v>32</v>
      </c>
      <c r="K237">
        <f>IF(AND(API_Cosevi[[#This Row],[Rol persona]]="Motociclista", OR(API_Cosevi[[#This Row],[Dia]]="Domingo", API_Cosevi[[#This Row],[Dia]]="Sabado")), 1, 0)</f>
        <v>0</v>
      </c>
      <c r="L237">
        <f>IF(AND(API_Cosevi[[#This Row],[Rol persona]]="Motociclista", OR(API_Cosevi[[#This Row],[Edad quinquenal]]="15 A 19", API_Cosevi[[#This Row],[Edad quinquenal]]="10 A 14")), 1, 0)</f>
        <v>0</v>
      </c>
    </row>
    <row r="238" spans="1:12" x14ac:dyDescent="0.3">
      <c r="A238" t="s">
        <v>8</v>
      </c>
      <c r="B238" t="s">
        <v>40</v>
      </c>
      <c r="C238" t="s">
        <v>86</v>
      </c>
      <c r="D238" t="s">
        <v>24</v>
      </c>
      <c r="E238" t="s">
        <v>11</v>
      </c>
      <c r="F238" t="s">
        <v>35</v>
      </c>
      <c r="G238">
        <v>26</v>
      </c>
      <c r="H238" t="s">
        <v>133</v>
      </c>
      <c r="I238" t="s">
        <v>145</v>
      </c>
      <c r="J238" t="s">
        <v>13</v>
      </c>
      <c r="K238">
        <f>IF(AND(API_Cosevi[[#This Row],[Rol persona]]="Motociclista", OR(API_Cosevi[[#This Row],[Dia]]="Domingo", API_Cosevi[[#This Row],[Dia]]="Sabado")), 1, 0)</f>
        <v>0</v>
      </c>
      <c r="L238">
        <f>IF(AND(API_Cosevi[[#This Row],[Rol persona]]="Motociclista", OR(API_Cosevi[[#This Row],[Edad quinquenal]]="15 A 19", API_Cosevi[[#This Row],[Edad quinquenal]]="10 A 14")), 1, 0)</f>
        <v>0</v>
      </c>
    </row>
    <row r="239" spans="1:12" x14ac:dyDescent="0.3">
      <c r="A239" t="s">
        <v>8</v>
      </c>
      <c r="B239" t="s">
        <v>14</v>
      </c>
      <c r="C239" t="s">
        <v>67</v>
      </c>
      <c r="D239" t="s">
        <v>24</v>
      </c>
      <c r="E239" t="s">
        <v>11</v>
      </c>
      <c r="F239" t="s">
        <v>12</v>
      </c>
      <c r="G239">
        <v>28</v>
      </c>
      <c r="H239" t="s">
        <v>132</v>
      </c>
      <c r="I239" t="s">
        <v>145</v>
      </c>
      <c r="J239" t="s">
        <v>13</v>
      </c>
      <c r="K239">
        <f>IF(AND(API_Cosevi[[#This Row],[Rol persona]]="Motociclista", OR(API_Cosevi[[#This Row],[Dia]]="Domingo", API_Cosevi[[#This Row],[Dia]]="Sabado")), 1, 0)</f>
        <v>1</v>
      </c>
      <c r="L239">
        <f>IF(AND(API_Cosevi[[#This Row],[Rol persona]]="Motociclista", OR(API_Cosevi[[#This Row],[Edad quinquenal]]="15 A 19", API_Cosevi[[#This Row],[Edad quinquenal]]="10 A 14")), 1, 0)</f>
        <v>0</v>
      </c>
    </row>
    <row r="240" spans="1:12" x14ac:dyDescent="0.3">
      <c r="A240" t="s">
        <v>33</v>
      </c>
      <c r="B240" t="s">
        <v>34</v>
      </c>
      <c r="C240" t="s">
        <v>34</v>
      </c>
      <c r="D240" t="s">
        <v>24</v>
      </c>
      <c r="E240" t="s">
        <v>158</v>
      </c>
      <c r="F240" t="s">
        <v>102</v>
      </c>
      <c r="G240" t="s">
        <v>68</v>
      </c>
      <c r="H240" t="s">
        <v>136</v>
      </c>
      <c r="I240" t="s">
        <v>145</v>
      </c>
      <c r="J240" t="s">
        <v>68</v>
      </c>
      <c r="K240">
        <f>IF(AND(API_Cosevi[[#This Row],[Rol persona]]="Motociclista", OR(API_Cosevi[[#This Row],[Dia]]="Domingo", API_Cosevi[[#This Row],[Dia]]="Sabado")), 1, 0)</f>
        <v>0</v>
      </c>
      <c r="L240">
        <f>IF(AND(API_Cosevi[[#This Row],[Rol persona]]="Motociclista", OR(API_Cosevi[[#This Row],[Edad quinquenal]]="15 A 19", API_Cosevi[[#This Row],[Edad quinquenal]]="10 A 14")), 1, 0)</f>
        <v>0</v>
      </c>
    </row>
    <row r="241" spans="1:12" x14ac:dyDescent="0.3">
      <c r="A241" t="s">
        <v>8</v>
      </c>
      <c r="B241" t="s">
        <v>9</v>
      </c>
      <c r="C241" t="s">
        <v>20</v>
      </c>
      <c r="D241">
        <v>21</v>
      </c>
      <c r="E241" t="s">
        <v>11</v>
      </c>
      <c r="F241" t="s">
        <v>12</v>
      </c>
      <c r="G241">
        <v>27</v>
      </c>
      <c r="H241" t="s">
        <v>137</v>
      </c>
      <c r="I241" t="s">
        <v>145</v>
      </c>
      <c r="J241" t="s">
        <v>13</v>
      </c>
      <c r="K241">
        <f>IF(AND(API_Cosevi[[#This Row],[Rol persona]]="Motociclista", OR(API_Cosevi[[#This Row],[Dia]]="Domingo", API_Cosevi[[#This Row],[Dia]]="Sabado")), 1, 0)</f>
        <v>0</v>
      </c>
      <c r="L241">
        <f>IF(AND(API_Cosevi[[#This Row],[Rol persona]]="Motociclista", OR(API_Cosevi[[#This Row],[Edad quinquenal]]="15 A 19", API_Cosevi[[#This Row],[Edad quinquenal]]="10 A 14")), 1, 0)</f>
        <v>0</v>
      </c>
    </row>
    <row r="242" spans="1:12" x14ac:dyDescent="0.3">
      <c r="A242" t="s">
        <v>22</v>
      </c>
      <c r="B242" t="s">
        <v>34</v>
      </c>
      <c r="C242" t="s">
        <v>80</v>
      </c>
      <c r="D242">
        <v>105</v>
      </c>
      <c r="E242" t="s">
        <v>11</v>
      </c>
      <c r="F242" t="s">
        <v>12</v>
      </c>
      <c r="G242">
        <v>26</v>
      </c>
      <c r="H242" t="s">
        <v>136</v>
      </c>
      <c r="I242" t="s">
        <v>145</v>
      </c>
      <c r="J242" t="s">
        <v>13</v>
      </c>
      <c r="K242">
        <f>IF(AND(API_Cosevi[[#This Row],[Rol persona]]="Motociclista", OR(API_Cosevi[[#This Row],[Dia]]="Domingo", API_Cosevi[[#This Row],[Dia]]="Sabado")), 1, 0)</f>
        <v>0</v>
      </c>
      <c r="L242">
        <f>IF(AND(API_Cosevi[[#This Row],[Rol persona]]="Motociclista", OR(API_Cosevi[[#This Row],[Edad quinquenal]]="15 A 19", API_Cosevi[[#This Row],[Edad quinquenal]]="10 A 14")), 1, 0)</f>
        <v>0</v>
      </c>
    </row>
    <row r="243" spans="1:12" x14ac:dyDescent="0.3">
      <c r="A243" t="s">
        <v>22</v>
      </c>
      <c r="B243" t="s">
        <v>9</v>
      </c>
      <c r="C243" t="s">
        <v>20</v>
      </c>
      <c r="D243">
        <v>1</v>
      </c>
      <c r="E243" t="s">
        <v>25</v>
      </c>
      <c r="F243" t="s">
        <v>12</v>
      </c>
      <c r="G243">
        <v>69</v>
      </c>
      <c r="H243" t="s">
        <v>135</v>
      </c>
      <c r="I243" t="s">
        <v>145</v>
      </c>
      <c r="J243" t="s">
        <v>27</v>
      </c>
      <c r="K243">
        <f>IF(AND(API_Cosevi[[#This Row],[Rol persona]]="Motociclista", OR(API_Cosevi[[#This Row],[Dia]]="Domingo", API_Cosevi[[#This Row],[Dia]]="Sabado")), 1, 0)</f>
        <v>0</v>
      </c>
      <c r="L243">
        <f>IF(AND(API_Cosevi[[#This Row],[Rol persona]]="Motociclista", OR(API_Cosevi[[#This Row],[Edad quinquenal]]="15 A 19", API_Cosevi[[#This Row],[Edad quinquenal]]="10 A 14")), 1, 0)</f>
        <v>0</v>
      </c>
    </row>
    <row r="244" spans="1:12" x14ac:dyDescent="0.3">
      <c r="A244" t="s">
        <v>33</v>
      </c>
      <c r="B244" t="s">
        <v>50</v>
      </c>
      <c r="C244" t="s">
        <v>50</v>
      </c>
      <c r="D244" t="s">
        <v>24</v>
      </c>
      <c r="E244" t="s">
        <v>158</v>
      </c>
      <c r="F244" t="s">
        <v>12</v>
      </c>
      <c r="G244">
        <v>76</v>
      </c>
      <c r="H244" t="s">
        <v>134</v>
      </c>
      <c r="I244" t="s">
        <v>145</v>
      </c>
      <c r="J244" t="s">
        <v>42</v>
      </c>
      <c r="K244">
        <f>IF(AND(API_Cosevi[[#This Row],[Rol persona]]="Motociclista", OR(API_Cosevi[[#This Row],[Dia]]="Domingo", API_Cosevi[[#This Row],[Dia]]="Sabado")), 1, 0)</f>
        <v>0</v>
      </c>
      <c r="L244">
        <f>IF(AND(API_Cosevi[[#This Row],[Rol persona]]="Motociclista", OR(API_Cosevi[[#This Row],[Edad quinquenal]]="15 A 19", API_Cosevi[[#This Row],[Edad quinquenal]]="10 A 14")), 1, 0)</f>
        <v>0</v>
      </c>
    </row>
    <row r="245" spans="1:12" x14ac:dyDescent="0.3">
      <c r="A245" t="s">
        <v>8</v>
      </c>
      <c r="B245" t="s">
        <v>29</v>
      </c>
      <c r="C245" t="s">
        <v>112</v>
      </c>
      <c r="D245" t="s">
        <v>24</v>
      </c>
      <c r="E245" t="s">
        <v>62</v>
      </c>
      <c r="F245" t="s">
        <v>12</v>
      </c>
      <c r="G245">
        <v>44</v>
      </c>
      <c r="H245" t="s">
        <v>133</v>
      </c>
      <c r="I245" t="s">
        <v>145</v>
      </c>
      <c r="J245" t="s">
        <v>28</v>
      </c>
      <c r="K245">
        <f>IF(AND(API_Cosevi[[#This Row],[Rol persona]]="Motociclista", OR(API_Cosevi[[#This Row],[Dia]]="Domingo", API_Cosevi[[#This Row],[Dia]]="Sabado")), 1, 0)</f>
        <v>0</v>
      </c>
      <c r="L245">
        <f>IF(AND(API_Cosevi[[#This Row],[Rol persona]]="Motociclista", OR(API_Cosevi[[#This Row],[Edad quinquenal]]="15 A 19", API_Cosevi[[#This Row],[Edad quinquenal]]="10 A 14")), 1, 0)</f>
        <v>0</v>
      </c>
    </row>
    <row r="246" spans="1:12" x14ac:dyDescent="0.3">
      <c r="A246" t="s">
        <v>8</v>
      </c>
      <c r="B246" t="s">
        <v>29</v>
      </c>
      <c r="C246" t="s">
        <v>47</v>
      </c>
      <c r="D246">
        <v>27</v>
      </c>
      <c r="E246" t="s">
        <v>11</v>
      </c>
      <c r="F246" t="s">
        <v>12</v>
      </c>
      <c r="G246">
        <v>22</v>
      </c>
      <c r="H246" t="s">
        <v>132</v>
      </c>
      <c r="I246" t="s">
        <v>145</v>
      </c>
      <c r="J246" t="s">
        <v>17</v>
      </c>
      <c r="K246">
        <f>IF(AND(API_Cosevi[[#This Row],[Rol persona]]="Motociclista", OR(API_Cosevi[[#This Row],[Dia]]="Domingo", API_Cosevi[[#This Row],[Dia]]="Sabado")), 1, 0)</f>
        <v>1</v>
      </c>
      <c r="L246">
        <f>IF(AND(API_Cosevi[[#This Row],[Rol persona]]="Motociclista", OR(API_Cosevi[[#This Row],[Edad quinquenal]]="15 A 19", API_Cosevi[[#This Row],[Edad quinquenal]]="10 A 14")), 1, 0)</f>
        <v>0</v>
      </c>
    </row>
    <row r="247" spans="1:12" x14ac:dyDescent="0.3">
      <c r="A247" t="s">
        <v>22</v>
      </c>
      <c r="B247" t="s">
        <v>14</v>
      </c>
      <c r="C247" t="s">
        <v>18</v>
      </c>
      <c r="D247">
        <v>34</v>
      </c>
      <c r="E247" t="s">
        <v>25</v>
      </c>
      <c r="F247" t="s">
        <v>12</v>
      </c>
      <c r="G247">
        <v>50</v>
      </c>
      <c r="H247" t="s">
        <v>132</v>
      </c>
      <c r="I247" t="s">
        <v>145</v>
      </c>
      <c r="J247" t="s">
        <v>60</v>
      </c>
      <c r="K247">
        <f>IF(AND(API_Cosevi[[#This Row],[Rol persona]]="Motociclista", OR(API_Cosevi[[#This Row],[Dia]]="Domingo", API_Cosevi[[#This Row],[Dia]]="Sabado")), 1, 0)</f>
        <v>0</v>
      </c>
      <c r="L247">
        <f>IF(AND(API_Cosevi[[#This Row],[Rol persona]]="Motociclista", OR(API_Cosevi[[#This Row],[Edad quinquenal]]="15 A 19", API_Cosevi[[#This Row],[Edad quinquenal]]="10 A 14")), 1, 0)</f>
        <v>0</v>
      </c>
    </row>
    <row r="248" spans="1:12" x14ac:dyDescent="0.3">
      <c r="A248" t="s">
        <v>38</v>
      </c>
      <c r="B248" t="s">
        <v>64</v>
      </c>
      <c r="C248" t="s">
        <v>70</v>
      </c>
      <c r="D248">
        <v>32</v>
      </c>
      <c r="E248" t="s">
        <v>39</v>
      </c>
      <c r="F248" t="s">
        <v>102</v>
      </c>
      <c r="G248" t="s">
        <v>68</v>
      </c>
      <c r="H248" t="s">
        <v>132</v>
      </c>
      <c r="I248" t="s">
        <v>145</v>
      </c>
      <c r="J248" t="s">
        <v>68</v>
      </c>
      <c r="K248">
        <f>IF(AND(API_Cosevi[[#This Row],[Rol persona]]="Motociclista", OR(API_Cosevi[[#This Row],[Dia]]="Domingo", API_Cosevi[[#This Row],[Dia]]="Sabado")), 1, 0)</f>
        <v>0</v>
      </c>
      <c r="L248">
        <f>IF(AND(API_Cosevi[[#This Row],[Rol persona]]="Motociclista", OR(API_Cosevi[[#This Row],[Edad quinquenal]]="15 A 19", API_Cosevi[[#This Row],[Edad quinquenal]]="10 A 14")), 1, 0)</f>
        <v>0</v>
      </c>
    </row>
    <row r="249" spans="1:12" x14ac:dyDescent="0.3">
      <c r="A249" t="s">
        <v>22</v>
      </c>
      <c r="B249" t="s">
        <v>9</v>
      </c>
      <c r="C249" t="s">
        <v>77</v>
      </c>
      <c r="D249">
        <v>933</v>
      </c>
      <c r="E249" t="s">
        <v>11</v>
      </c>
      <c r="F249" t="s">
        <v>12</v>
      </c>
      <c r="G249">
        <v>64</v>
      </c>
      <c r="H249" t="s">
        <v>132</v>
      </c>
      <c r="I249" t="s">
        <v>145</v>
      </c>
      <c r="J249" t="s">
        <v>49</v>
      </c>
      <c r="K249">
        <f>IF(AND(API_Cosevi[[#This Row],[Rol persona]]="Motociclista", OR(API_Cosevi[[#This Row],[Dia]]="Domingo", API_Cosevi[[#This Row],[Dia]]="Sabado")), 1, 0)</f>
        <v>1</v>
      </c>
      <c r="L249">
        <f>IF(AND(API_Cosevi[[#This Row],[Rol persona]]="Motociclista", OR(API_Cosevi[[#This Row],[Edad quinquenal]]="15 A 19", API_Cosevi[[#This Row],[Edad quinquenal]]="10 A 14")), 1, 0)</f>
        <v>0</v>
      </c>
    </row>
    <row r="250" spans="1:12" x14ac:dyDescent="0.3">
      <c r="A250" t="s">
        <v>22</v>
      </c>
      <c r="B250" t="s">
        <v>34</v>
      </c>
      <c r="C250" t="s">
        <v>84</v>
      </c>
      <c r="D250">
        <v>244</v>
      </c>
      <c r="E250" t="s">
        <v>11</v>
      </c>
      <c r="F250" t="s">
        <v>35</v>
      </c>
      <c r="G250">
        <v>23</v>
      </c>
      <c r="H250" t="s">
        <v>135</v>
      </c>
      <c r="I250" t="s">
        <v>145</v>
      </c>
      <c r="J250" t="s">
        <v>17</v>
      </c>
      <c r="K250">
        <f>IF(AND(API_Cosevi[[#This Row],[Rol persona]]="Motociclista", OR(API_Cosevi[[#This Row],[Dia]]="Domingo", API_Cosevi[[#This Row],[Dia]]="Sabado")), 1, 0)</f>
        <v>0</v>
      </c>
      <c r="L250">
        <f>IF(AND(API_Cosevi[[#This Row],[Rol persona]]="Motociclista", OR(API_Cosevi[[#This Row],[Edad quinquenal]]="15 A 19", API_Cosevi[[#This Row],[Edad quinquenal]]="10 A 14")), 1, 0)</f>
        <v>0</v>
      </c>
    </row>
    <row r="251" spans="1:12" x14ac:dyDescent="0.3">
      <c r="A251" t="s">
        <v>33</v>
      </c>
      <c r="B251" t="s">
        <v>34</v>
      </c>
      <c r="C251" t="s">
        <v>34</v>
      </c>
      <c r="D251">
        <v>39</v>
      </c>
      <c r="E251" t="s">
        <v>158</v>
      </c>
      <c r="F251" t="s">
        <v>102</v>
      </c>
      <c r="G251" t="s">
        <v>68</v>
      </c>
      <c r="H251" t="s">
        <v>134</v>
      </c>
      <c r="I251" t="s">
        <v>145</v>
      </c>
      <c r="J251" t="s">
        <v>68</v>
      </c>
      <c r="K251">
        <f>IF(AND(API_Cosevi[[#This Row],[Rol persona]]="Motociclista", OR(API_Cosevi[[#This Row],[Dia]]="Domingo", API_Cosevi[[#This Row],[Dia]]="Sabado")), 1, 0)</f>
        <v>0</v>
      </c>
      <c r="L251">
        <f>IF(AND(API_Cosevi[[#This Row],[Rol persona]]="Motociclista", OR(API_Cosevi[[#This Row],[Edad quinquenal]]="15 A 19", API_Cosevi[[#This Row],[Edad quinquenal]]="10 A 14")), 1, 0)</f>
        <v>0</v>
      </c>
    </row>
    <row r="252" spans="1:12" x14ac:dyDescent="0.3">
      <c r="A252" t="s">
        <v>91</v>
      </c>
      <c r="B252" t="s">
        <v>34</v>
      </c>
      <c r="C252" t="s">
        <v>109</v>
      </c>
      <c r="D252">
        <v>39</v>
      </c>
      <c r="E252" t="s">
        <v>11</v>
      </c>
      <c r="F252" t="s">
        <v>12</v>
      </c>
      <c r="G252">
        <v>21</v>
      </c>
      <c r="H252" t="s">
        <v>132</v>
      </c>
      <c r="I252" t="s">
        <v>145</v>
      </c>
      <c r="J252" t="s">
        <v>17</v>
      </c>
      <c r="K252">
        <f>IF(AND(API_Cosevi[[#This Row],[Rol persona]]="Motociclista", OR(API_Cosevi[[#This Row],[Dia]]="Domingo", API_Cosevi[[#This Row],[Dia]]="Sabado")), 1, 0)</f>
        <v>1</v>
      </c>
      <c r="L252">
        <f>IF(AND(API_Cosevi[[#This Row],[Rol persona]]="Motociclista", OR(API_Cosevi[[#This Row],[Edad quinquenal]]="15 A 19", API_Cosevi[[#This Row],[Edad quinquenal]]="10 A 14")), 1, 0)</f>
        <v>0</v>
      </c>
    </row>
    <row r="253" spans="1:12" x14ac:dyDescent="0.3">
      <c r="A253" t="s">
        <v>8</v>
      </c>
      <c r="B253" t="s">
        <v>14</v>
      </c>
      <c r="C253" t="s">
        <v>45</v>
      </c>
      <c r="D253">
        <v>2</v>
      </c>
      <c r="E253" t="s">
        <v>25</v>
      </c>
      <c r="F253" t="s">
        <v>12</v>
      </c>
      <c r="G253">
        <v>19</v>
      </c>
      <c r="H253" t="s">
        <v>132</v>
      </c>
      <c r="I253" t="s">
        <v>145</v>
      </c>
      <c r="J253" t="s">
        <v>31</v>
      </c>
      <c r="K253">
        <f>IF(AND(API_Cosevi[[#This Row],[Rol persona]]="Motociclista", OR(API_Cosevi[[#This Row],[Dia]]="Domingo", API_Cosevi[[#This Row],[Dia]]="Sabado")), 1, 0)</f>
        <v>0</v>
      </c>
      <c r="L253">
        <f>IF(AND(API_Cosevi[[#This Row],[Rol persona]]="Motociclista", OR(API_Cosevi[[#This Row],[Edad quinquenal]]="15 A 19", API_Cosevi[[#This Row],[Edad quinquenal]]="10 A 14")), 1, 0)</f>
        <v>0</v>
      </c>
    </row>
    <row r="254" spans="1:12" x14ac:dyDescent="0.3">
      <c r="A254" t="s">
        <v>22</v>
      </c>
      <c r="B254" t="s">
        <v>29</v>
      </c>
      <c r="C254" t="s">
        <v>93</v>
      </c>
      <c r="D254">
        <v>742</v>
      </c>
      <c r="E254" t="s">
        <v>11</v>
      </c>
      <c r="F254" t="s">
        <v>12</v>
      </c>
      <c r="G254">
        <v>34</v>
      </c>
      <c r="H254" t="s">
        <v>138</v>
      </c>
      <c r="I254" t="s">
        <v>145</v>
      </c>
      <c r="J254" t="s">
        <v>21</v>
      </c>
      <c r="K254">
        <f>IF(AND(API_Cosevi[[#This Row],[Rol persona]]="Motociclista", OR(API_Cosevi[[#This Row],[Dia]]="Domingo", API_Cosevi[[#This Row],[Dia]]="Sabado")), 1, 0)</f>
        <v>1</v>
      </c>
      <c r="L254">
        <f>IF(AND(API_Cosevi[[#This Row],[Rol persona]]="Motociclista", OR(API_Cosevi[[#This Row],[Edad quinquenal]]="15 A 19", API_Cosevi[[#This Row],[Edad quinquenal]]="10 A 14")), 1, 0)</f>
        <v>0</v>
      </c>
    </row>
    <row r="255" spans="1:12" x14ac:dyDescent="0.3">
      <c r="A255" t="s">
        <v>22</v>
      </c>
      <c r="B255" t="s">
        <v>14</v>
      </c>
      <c r="C255" t="s">
        <v>66</v>
      </c>
      <c r="D255" t="s">
        <v>24</v>
      </c>
      <c r="E255" t="s">
        <v>11</v>
      </c>
      <c r="F255" t="s">
        <v>12</v>
      </c>
      <c r="G255">
        <v>36</v>
      </c>
      <c r="H255" t="s">
        <v>138</v>
      </c>
      <c r="I255" t="s">
        <v>145</v>
      </c>
      <c r="J255" t="s">
        <v>32</v>
      </c>
      <c r="K255">
        <f>IF(AND(API_Cosevi[[#This Row],[Rol persona]]="Motociclista", OR(API_Cosevi[[#This Row],[Dia]]="Domingo", API_Cosevi[[#This Row],[Dia]]="Sabado")), 1, 0)</f>
        <v>1</v>
      </c>
      <c r="L255">
        <f>IF(AND(API_Cosevi[[#This Row],[Rol persona]]="Motociclista", OR(API_Cosevi[[#This Row],[Edad quinquenal]]="15 A 19", API_Cosevi[[#This Row],[Edad quinquenal]]="10 A 14")), 1, 0)</f>
        <v>0</v>
      </c>
    </row>
    <row r="256" spans="1:12" x14ac:dyDescent="0.3">
      <c r="A256" t="s">
        <v>8</v>
      </c>
      <c r="B256" t="s">
        <v>29</v>
      </c>
      <c r="C256" t="s">
        <v>48</v>
      </c>
      <c r="D256">
        <v>141</v>
      </c>
      <c r="E256" t="s">
        <v>11</v>
      </c>
      <c r="F256" t="s">
        <v>12</v>
      </c>
      <c r="G256">
        <v>57</v>
      </c>
      <c r="H256" t="s">
        <v>137</v>
      </c>
      <c r="I256" t="s">
        <v>145</v>
      </c>
      <c r="J256" t="s">
        <v>36</v>
      </c>
      <c r="K256">
        <f>IF(AND(API_Cosevi[[#This Row],[Rol persona]]="Motociclista", OR(API_Cosevi[[#This Row],[Dia]]="Domingo", API_Cosevi[[#This Row],[Dia]]="Sabado")), 1, 0)</f>
        <v>0</v>
      </c>
      <c r="L256">
        <f>IF(AND(API_Cosevi[[#This Row],[Rol persona]]="Motociclista", OR(API_Cosevi[[#This Row],[Edad quinquenal]]="15 A 19", API_Cosevi[[#This Row],[Edad quinquenal]]="10 A 14")), 1, 0)</f>
        <v>0</v>
      </c>
    </row>
    <row r="257" spans="1:12" x14ac:dyDescent="0.3">
      <c r="A257" t="s">
        <v>113</v>
      </c>
      <c r="B257" t="s">
        <v>40</v>
      </c>
      <c r="C257" t="s">
        <v>40</v>
      </c>
      <c r="D257">
        <v>3</v>
      </c>
      <c r="E257" t="s">
        <v>11</v>
      </c>
      <c r="F257" t="s">
        <v>12</v>
      </c>
      <c r="G257">
        <v>45</v>
      </c>
      <c r="H257" t="s">
        <v>134</v>
      </c>
      <c r="I257" t="s">
        <v>145</v>
      </c>
      <c r="J257" t="s">
        <v>19</v>
      </c>
      <c r="K257">
        <f>IF(AND(API_Cosevi[[#This Row],[Rol persona]]="Motociclista", OR(API_Cosevi[[#This Row],[Dia]]="Domingo", API_Cosevi[[#This Row],[Dia]]="Sabado")), 1, 0)</f>
        <v>0</v>
      </c>
      <c r="L257">
        <f>IF(AND(API_Cosevi[[#This Row],[Rol persona]]="Motociclista", OR(API_Cosevi[[#This Row],[Edad quinquenal]]="15 A 19", API_Cosevi[[#This Row],[Edad quinquenal]]="10 A 14")), 1, 0)</f>
        <v>0</v>
      </c>
    </row>
    <row r="258" spans="1:12" x14ac:dyDescent="0.3">
      <c r="A258" t="s">
        <v>114</v>
      </c>
      <c r="B258" t="s">
        <v>29</v>
      </c>
      <c r="C258" t="s">
        <v>48</v>
      </c>
      <c r="D258">
        <v>4</v>
      </c>
      <c r="E258" t="s">
        <v>11</v>
      </c>
      <c r="F258" t="s">
        <v>12</v>
      </c>
      <c r="G258">
        <v>29</v>
      </c>
      <c r="H258" t="s">
        <v>134</v>
      </c>
      <c r="I258" t="s">
        <v>145</v>
      </c>
      <c r="J258" t="s">
        <v>13</v>
      </c>
      <c r="K258">
        <f>IF(AND(API_Cosevi[[#This Row],[Rol persona]]="Motociclista", OR(API_Cosevi[[#This Row],[Dia]]="Domingo", API_Cosevi[[#This Row],[Dia]]="Sabado")), 1, 0)</f>
        <v>0</v>
      </c>
      <c r="L258">
        <f>IF(AND(API_Cosevi[[#This Row],[Rol persona]]="Motociclista", OR(API_Cosevi[[#This Row],[Edad quinquenal]]="15 A 19", API_Cosevi[[#This Row],[Edad quinquenal]]="10 A 14")), 1, 0)</f>
        <v>0</v>
      </c>
    </row>
    <row r="259" spans="1:12" x14ac:dyDescent="0.3">
      <c r="A259" t="s">
        <v>22</v>
      </c>
      <c r="B259" t="s">
        <v>9</v>
      </c>
      <c r="C259" t="s">
        <v>26</v>
      </c>
      <c r="D259">
        <v>18</v>
      </c>
      <c r="E259" t="s">
        <v>11</v>
      </c>
      <c r="F259" t="s">
        <v>12</v>
      </c>
      <c r="G259">
        <v>62</v>
      </c>
      <c r="H259" t="s">
        <v>133</v>
      </c>
      <c r="I259" t="s">
        <v>145</v>
      </c>
      <c r="J259" t="s">
        <v>49</v>
      </c>
      <c r="K259">
        <f>IF(AND(API_Cosevi[[#This Row],[Rol persona]]="Motociclista", OR(API_Cosevi[[#This Row],[Dia]]="Domingo", API_Cosevi[[#This Row],[Dia]]="Sabado")), 1, 0)</f>
        <v>0</v>
      </c>
      <c r="L259">
        <f>IF(AND(API_Cosevi[[#This Row],[Rol persona]]="Motociclista", OR(API_Cosevi[[#This Row],[Edad quinquenal]]="15 A 19", API_Cosevi[[#This Row],[Edad quinquenal]]="10 A 14")), 1, 0)</f>
        <v>0</v>
      </c>
    </row>
    <row r="260" spans="1:12" x14ac:dyDescent="0.3">
      <c r="A260" t="s">
        <v>8</v>
      </c>
      <c r="B260" t="s">
        <v>64</v>
      </c>
      <c r="C260" t="s">
        <v>73</v>
      </c>
      <c r="D260">
        <v>36</v>
      </c>
      <c r="E260" t="s">
        <v>11</v>
      </c>
      <c r="F260" t="s">
        <v>35</v>
      </c>
      <c r="G260">
        <v>14</v>
      </c>
      <c r="H260" t="s">
        <v>133</v>
      </c>
      <c r="I260" t="s">
        <v>145</v>
      </c>
      <c r="J260" t="s">
        <v>43</v>
      </c>
      <c r="K260">
        <f>IF(AND(API_Cosevi[[#This Row],[Rol persona]]="Motociclista", OR(API_Cosevi[[#This Row],[Dia]]="Domingo", API_Cosevi[[#This Row],[Dia]]="Sabado")), 1, 0)</f>
        <v>0</v>
      </c>
      <c r="L260">
        <f>IF(AND(API_Cosevi[[#This Row],[Rol persona]]="Motociclista", OR(API_Cosevi[[#This Row],[Edad quinquenal]]="15 A 19", API_Cosevi[[#This Row],[Edad quinquenal]]="10 A 14")), 1, 0)</f>
        <v>1</v>
      </c>
    </row>
    <row r="261" spans="1:12" x14ac:dyDescent="0.3">
      <c r="A261" t="s">
        <v>22</v>
      </c>
      <c r="B261" t="s">
        <v>29</v>
      </c>
      <c r="C261" t="s">
        <v>93</v>
      </c>
      <c r="D261">
        <v>742</v>
      </c>
      <c r="E261" t="s">
        <v>11</v>
      </c>
      <c r="F261" t="s">
        <v>12</v>
      </c>
      <c r="G261">
        <v>34</v>
      </c>
      <c r="H261" t="s">
        <v>138</v>
      </c>
      <c r="I261" t="s">
        <v>145</v>
      </c>
      <c r="J261" t="s">
        <v>21</v>
      </c>
      <c r="K261">
        <f>IF(AND(API_Cosevi[[#This Row],[Rol persona]]="Motociclista", OR(API_Cosevi[[#This Row],[Dia]]="Domingo", API_Cosevi[[#This Row],[Dia]]="Sabado")), 1, 0)</f>
        <v>1</v>
      </c>
      <c r="L261">
        <f>IF(AND(API_Cosevi[[#This Row],[Rol persona]]="Motociclista", OR(API_Cosevi[[#This Row],[Edad quinquenal]]="15 A 19", API_Cosevi[[#This Row],[Edad quinquenal]]="10 A 14")), 1, 0)</f>
        <v>0</v>
      </c>
    </row>
    <row r="262" spans="1:12" x14ac:dyDescent="0.3">
      <c r="A262" t="s">
        <v>8</v>
      </c>
      <c r="B262" t="s">
        <v>9</v>
      </c>
      <c r="C262" t="s">
        <v>20</v>
      </c>
      <c r="D262">
        <v>1</v>
      </c>
      <c r="E262" t="s">
        <v>62</v>
      </c>
      <c r="F262" t="s">
        <v>35</v>
      </c>
      <c r="G262">
        <v>44</v>
      </c>
      <c r="H262" t="s">
        <v>132</v>
      </c>
      <c r="I262" t="s">
        <v>145</v>
      </c>
      <c r="J262" t="s">
        <v>28</v>
      </c>
      <c r="K262">
        <f>IF(AND(API_Cosevi[[#This Row],[Rol persona]]="Motociclista", OR(API_Cosevi[[#This Row],[Dia]]="Domingo", API_Cosevi[[#This Row],[Dia]]="Sabado")), 1, 0)</f>
        <v>0</v>
      </c>
      <c r="L262">
        <f>IF(AND(API_Cosevi[[#This Row],[Rol persona]]="Motociclista", OR(API_Cosevi[[#This Row],[Edad quinquenal]]="15 A 19", API_Cosevi[[#This Row],[Edad quinquenal]]="10 A 14")), 1, 0)</f>
        <v>0</v>
      </c>
    </row>
    <row r="263" spans="1:12" x14ac:dyDescent="0.3">
      <c r="A263" t="s">
        <v>115</v>
      </c>
      <c r="B263" t="s">
        <v>14</v>
      </c>
      <c r="C263" t="s">
        <v>14</v>
      </c>
      <c r="D263">
        <v>17</v>
      </c>
      <c r="E263" t="s">
        <v>158</v>
      </c>
      <c r="F263" t="s">
        <v>12</v>
      </c>
      <c r="G263" t="s">
        <v>68</v>
      </c>
      <c r="H263" t="s">
        <v>136</v>
      </c>
      <c r="I263" t="s">
        <v>145</v>
      </c>
      <c r="J263" t="s">
        <v>68</v>
      </c>
      <c r="K263">
        <f>IF(AND(API_Cosevi[[#This Row],[Rol persona]]="Motociclista", OR(API_Cosevi[[#This Row],[Dia]]="Domingo", API_Cosevi[[#This Row],[Dia]]="Sabado")), 1, 0)</f>
        <v>0</v>
      </c>
      <c r="L263">
        <f>IF(AND(API_Cosevi[[#This Row],[Rol persona]]="Motociclista", OR(API_Cosevi[[#This Row],[Edad quinquenal]]="15 A 19", API_Cosevi[[#This Row],[Edad quinquenal]]="10 A 14")), 1, 0)</f>
        <v>0</v>
      </c>
    </row>
    <row r="264" spans="1:12" x14ac:dyDescent="0.3">
      <c r="A264" t="s">
        <v>46</v>
      </c>
      <c r="B264" t="s">
        <v>34</v>
      </c>
      <c r="C264" t="s">
        <v>34</v>
      </c>
      <c r="D264" t="s">
        <v>24</v>
      </c>
      <c r="E264" t="s">
        <v>16</v>
      </c>
      <c r="F264" t="s">
        <v>35</v>
      </c>
      <c r="G264">
        <v>38</v>
      </c>
      <c r="H264" t="s">
        <v>136</v>
      </c>
      <c r="I264" t="s">
        <v>145</v>
      </c>
      <c r="J264" t="s">
        <v>32</v>
      </c>
      <c r="K264">
        <f>IF(AND(API_Cosevi[[#This Row],[Rol persona]]="Motociclista", OR(API_Cosevi[[#This Row],[Dia]]="Domingo", API_Cosevi[[#This Row],[Dia]]="Sabado")), 1, 0)</f>
        <v>0</v>
      </c>
      <c r="L264">
        <f>IF(AND(API_Cosevi[[#This Row],[Rol persona]]="Motociclista", OR(API_Cosevi[[#This Row],[Edad quinquenal]]="15 A 19", API_Cosevi[[#This Row],[Edad quinquenal]]="10 A 14")), 1, 0)</f>
        <v>0</v>
      </c>
    </row>
    <row r="265" spans="1:12" x14ac:dyDescent="0.3">
      <c r="A265" t="s">
        <v>8</v>
      </c>
      <c r="B265" t="s">
        <v>64</v>
      </c>
      <c r="C265" t="s">
        <v>99</v>
      </c>
      <c r="D265">
        <v>36</v>
      </c>
      <c r="E265" t="s">
        <v>11</v>
      </c>
      <c r="F265" t="s">
        <v>12</v>
      </c>
      <c r="G265">
        <v>32</v>
      </c>
      <c r="H265" t="s">
        <v>134</v>
      </c>
      <c r="I265" t="s">
        <v>145</v>
      </c>
      <c r="J265" t="s">
        <v>21</v>
      </c>
      <c r="K265">
        <f>IF(AND(API_Cosevi[[#This Row],[Rol persona]]="Motociclista", OR(API_Cosevi[[#This Row],[Dia]]="Domingo", API_Cosevi[[#This Row],[Dia]]="Sabado")), 1, 0)</f>
        <v>0</v>
      </c>
      <c r="L265">
        <f>IF(AND(API_Cosevi[[#This Row],[Rol persona]]="Motociclista", OR(API_Cosevi[[#This Row],[Edad quinquenal]]="15 A 19", API_Cosevi[[#This Row],[Edad quinquenal]]="10 A 14")), 1, 0)</f>
        <v>0</v>
      </c>
    </row>
    <row r="266" spans="1:12" x14ac:dyDescent="0.3">
      <c r="A266" t="s">
        <v>33</v>
      </c>
      <c r="B266" t="s">
        <v>50</v>
      </c>
      <c r="C266" t="s">
        <v>50</v>
      </c>
      <c r="D266" t="s">
        <v>24</v>
      </c>
      <c r="E266" t="s">
        <v>25</v>
      </c>
      <c r="F266" t="s">
        <v>12</v>
      </c>
      <c r="G266" t="s">
        <v>68</v>
      </c>
      <c r="H266" t="s">
        <v>134</v>
      </c>
      <c r="I266" t="s">
        <v>146</v>
      </c>
      <c r="J266" t="s">
        <v>68</v>
      </c>
      <c r="K266">
        <f>IF(AND(API_Cosevi[[#This Row],[Rol persona]]="Motociclista", OR(API_Cosevi[[#This Row],[Dia]]="Domingo", API_Cosevi[[#This Row],[Dia]]="Sabado")), 1, 0)</f>
        <v>0</v>
      </c>
      <c r="L266">
        <f>IF(AND(API_Cosevi[[#This Row],[Rol persona]]="Motociclista", OR(API_Cosevi[[#This Row],[Edad quinquenal]]="15 A 19", API_Cosevi[[#This Row],[Edad quinquenal]]="10 A 14")), 1, 0)</f>
        <v>0</v>
      </c>
    </row>
    <row r="267" spans="1:12" x14ac:dyDescent="0.3">
      <c r="A267" t="s">
        <v>46</v>
      </c>
      <c r="B267" t="s">
        <v>34</v>
      </c>
      <c r="C267" t="s">
        <v>104</v>
      </c>
      <c r="D267" t="s">
        <v>24</v>
      </c>
      <c r="E267" t="s">
        <v>11</v>
      </c>
      <c r="F267" t="s">
        <v>12</v>
      </c>
      <c r="G267">
        <v>36</v>
      </c>
      <c r="H267" t="s">
        <v>132</v>
      </c>
      <c r="I267" t="s">
        <v>146</v>
      </c>
      <c r="J267" t="s">
        <v>32</v>
      </c>
      <c r="K267">
        <f>IF(AND(API_Cosevi[[#This Row],[Rol persona]]="Motociclista", OR(API_Cosevi[[#This Row],[Dia]]="Domingo", API_Cosevi[[#This Row],[Dia]]="Sabado")), 1, 0)</f>
        <v>1</v>
      </c>
      <c r="L267">
        <f>IF(AND(API_Cosevi[[#This Row],[Rol persona]]="Motociclista", OR(API_Cosevi[[#This Row],[Edad quinquenal]]="15 A 19", API_Cosevi[[#This Row],[Edad quinquenal]]="10 A 14")), 1, 0)</f>
        <v>0</v>
      </c>
    </row>
    <row r="268" spans="1:12" x14ac:dyDescent="0.3">
      <c r="A268" t="s">
        <v>8</v>
      </c>
      <c r="B268" t="s">
        <v>14</v>
      </c>
      <c r="C268" t="s">
        <v>88</v>
      </c>
      <c r="D268">
        <v>2</v>
      </c>
      <c r="E268" t="s">
        <v>11</v>
      </c>
      <c r="F268" t="s">
        <v>12</v>
      </c>
      <c r="G268">
        <v>31</v>
      </c>
      <c r="H268" t="s">
        <v>138</v>
      </c>
      <c r="I268" t="s">
        <v>146</v>
      </c>
      <c r="J268" t="s">
        <v>21</v>
      </c>
      <c r="K268">
        <f>IF(AND(API_Cosevi[[#This Row],[Rol persona]]="Motociclista", OR(API_Cosevi[[#This Row],[Dia]]="Domingo", API_Cosevi[[#This Row],[Dia]]="Sabado")), 1, 0)</f>
        <v>1</v>
      </c>
      <c r="L268">
        <f>IF(AND(API_Cosevi[[#This Row],[Rol persona]]="Motociclista", OR(API_Cosevi[[#This Row],[Edad quinquenal]]="15 A 19", API_Cosevi[[#This Row],[Edad quinquenal]]="10 A 14")), 1, 0)</f>
        <v>0</v>
      </c>
    </row>
    <row r="269" spans="1:12" x14ac:dyDescent="0.3">
      <c r="A269" t="s">
        <v>22</v>
      </c>
      <c r="B269" t="s">
        <v>9</v>
      </c>
      <c r="C269" t="s">
        <v>116</v>
      </c>
      <c r="D269" t="s">
        <v>117</v>
      </c>
      <c r="E269" t="s">
        <v>11</v>
      </c>
      <c r="F269" t="s">
        <v>12</v>
      </c>
      <c r="G269">
        <v>30</v>
      </c>
      <c r="H269" t="s">
        <v>135</v>
      </c>
      <c r="I269" t="s">
        <v>146</v>
      </c>
      <c r="J269" t="s">
        <v>21</v>
      </c>
      <c r="K269">
        <f>IF(AND(API_Cosevi[[#This Row],[Rol persona]]="Motociclista", OR(API_Cosevi[[#This Row],[Dia]]="Domingo", API_Cosevi[[#This Row],[Dia]]="Sabado")), 1, 0)</f>
        <v>0</v>
      </c>
      <c r="L269">
        <f>IF(AND(API_Cosevi[[#This Row],[Rol persona]]="Motociclista", OR(API_Cosevi[[#This Row],[Edad quinquenal]]="15 A 19", API_Cosevi[[#This Row],[Edad quinquenal]]="10 A 14")), 1, 0)</f>
        <v>0</v>
      </c>
    </row>
    <row r="270" spans="1:12" x14ac:dyDescent="0.3">
      <c r="A270" t="s">
        <v>114</v>
      </c>
      <c r="B270" t="s">
        <v>29</v>
      </c>
      <c r="C270" t="s">
        <v>100</v>
      </c>
      <c r="D270">
        <v>4</v>
      </c>
      <c r="E270" t="s">
        <v>11</v>
      </c>
      <c r="F270" t="s">
        <v>12</v>
      </c>
      <c r="G270">
        <v>29</v>
      </c>
      <c r="H270" t="s">
        <v>136</v>
      </c>
      <c r="I270" t="s">
        <v>146</v>
      </c>
      <c r="J270" t="s">
        <v>13</v>
      </c>
      <c r="K270">
        <f>IF(AND(API_Cosevi[[#This Row],[Rol persona]]="Motociclista", OR(API_Cosevi[[#This Row],[Dia]]="Domingo", API_Cosevi[[#This Row],[Dia]]="Sabado")), 1, 0)</f>
        <v>0</v>
      </c>
      <c r="L270">
        <f>IF(AND(API_Cosevi[[#This Row],[Rol persona]]="Motociclista", OR(API_Cosevi[[#This Row],[Edad quinquenal]]="15 A 19", API_Cosevi[[#This Row],[Edad quinquenal]]="10 A 14")), 1, 0)</f>
        <v>0</v>
      </c>
    </row>
    <row r="271" spans="1:12" x14ac:dyDescent="0.3">
      <c r="A271" t="s">
        <v>46</v>
      </c>
      <c r="B271" t="s">
        <v>64</v>
      </c>
      <c r="C271" t="s">
        <v>70</v>
      </c>
      <c r="D271" t="s">
        <v>24</v>
      </c>
      <c r="E271" t="s">
        <v>39</v>
      </c>
      <c r="F271" t="s">
        <v>12</v>
      </c>
      <c r="G271">
        <v>44</v>
      </c>
      <c r="H271" t="s">
        <v>135</v>
      </c>
      <c r="I271" t="s">
        <v>146</v>
      </c>
      <c r="J271" t="s">
        <v>28</v>
      </c>
      <c r="K271">
        <f>IF(AND(API_Cosevi[[#This Row],[Rol persona]]="Motociclista", OR(API_Cosevi[[#This Row],[Dia]]="Domingo", API_Cosevi[[#This Row],[Dia]]="Sabado")), 1, 0)</f>
        <v>0</v>
      </c>
      <c r="L271">
        <f>IF(AND(API_Cosevi[[#This Row],[Rol persona]]="Motociclista", OR(API_Cosevi[[#This Row],[Edad quinquenal]]="15 A 19", API_Cosevi[[#This Row],[Edad quinquenal]]="10 A 14")), 1, 0)</f>
        <v>0</v>
      </c>
    </row>
    <row r="272" spans="1:12" x14ac:dyDescent="0.3">
      <c r="A272" t="s">
        <v>8</v>
      </c>
      <c r="B272" t="s">
        <v>29</v>
      </c>
      <c r="C272" t="s">
        <v>48</v>
      </c>
      <c r="D272">
        <v>250</v>
      </c>
      <c r="E272" t="s">
        <v>11</v>
      </c>
      <c r="F272" t="s">
        <v>12</v>
      </c>
      <c r="G272">
        <v>29</v>
      </c>
      <c r="H272" t="s">
        <v>134</v>
      </c>
      <c r="I272" t="s">
        <v>146</v>
      </c>
      <c r="J272" t="s">
        <v>13</v>
      </c>
      <c r="K272">
        <f>IF(AND(API_Cosevi[[#This Row],[Rol persona]]="Motociclista", OR(API_Cosevi[[#This Row],[Dia]]="Domingo", API_Cosevi[[#This Row],[Dia]]="Sabado")), 1, 0)</f>
        <v>0</v>
      </c>
      <c r="L272">
        <f>IF(AND(API_Cosevi[[#This Row],[Rol persona]]="Motociclista", OR(API_Cosevi[[#This Row],[Edad quinquenal]]="15 A 19", API_Cosevi[[#This Row],[Edad quinquenal]]="10 A 14")), 1, 0)</f>
        <v>0</v>
      </c>
    </row>
    <row r="273" spans="1:12" x14ac:dyDescent="0.3">
      <c r="A273" t="s">
        <v>91</v>
      </c>
      <c r="B273" t="s">
        <v>29</v>
      </c>
      <c r="C273" t="s">
        <v>30</v>
      </c>
      <c r="D273">
        <v>27</v>
      </c>
      <c r="E273" t="s">
        <v>25</v>
      </c>
      <c r="F273" t="s">
        <v>12</v>
      </c>
      <c r="G273">
        <v>30</v>
      </c>
      <c r="H273" t="s">
        <v>138</v>
      </c>
      <c r="I273" t="s">
        <v>146</v>
      </c>
      <c r="J273" t="s">
        <v>21</v>
      </c>
      <c r="K273">
        <f>IF(AND(API_Cosevi[[#This Row],[Rol persona]]="Motociclista", OR(API_Cosevi[[#This Row],[Dia]]="Domingo", API_Cosevi[[#This Row],[Dia]]="Sabado")), 1, 0)</f>
        <v>0</v>
      </c>
      <c r="L273">
        <f>IF(AND(API_Cosevi[[#This Row],[Rol persona]]="Motociclista", OR(API_Cosevi[[#This Row],[Edad quinquenal]]="15 A 19", API_Cosevi[[#This Row],[Edad quinquenal]]="10 A 14")), 1, 0)</f>
        <v>0</v>
      </c>
    </row>
    <row r="274" spans="1:12" x14ac:dyDescent="0.3">
      <c r="A274" t="s">
        <v>91</v>
      </c>
      <c r="B274" t="s">
        <v>29</v>
      </c>
      <c r="C274" t="s">
        <v>30</v>
      </c>
      <c r="D274">
        <v>27</v>
      </c>
      <c r="E274" t="s">
        <v>16</v>
      </c>
      <c r="F274" t="s">
        <v>35</v>
      </c>
      <c r="G274">
        <v>25</v>
      </c>
      <c r="H274" t="s">
        <v>138</v>
      </c>
      <c r="I274" t="s">
        <v>146</v>
      </c>
      <c r="J274" t="s">
        <v>13</v>
      </c>
      <c r="K274">
        <f>IF(AND(API_Cosevi[[#This Row],[Rol persona]]="Motociclista", OR(API_Cosevi[[#This Row],[Dia]]="Domingo", API_Cosevi[[#This Row],[Dia]]="Sabado")), 1, 0)</f>
        <v>0</v>
      </c>
      <c r="L274">
        <f>IF(AND(API_Cosevi[[#This Row],[Rol persona]]="Motociclista", OR(API_Cosevi[[#This Row],[Edad quinquenal]]="15 A 19", API_Cosevi[[#This Row],[Edad quinquenal]]="10 A 14")), 1, 0)</f>
        <v>0</v>
      </c>
    </row>
    <row r="275" spans="1:12" x14ac:dyDescent="0.3">
      <c r="A275" t="s">
        <v>8</v>
      </c>
      <c r="B275" t="s">
        <v>14</v>
      </c>
      <c r="C275" t="s">
        <v>45</v>
      </c>
      <c r="D275">
        <v>246</v>
      </c>
      <c r="E275" t="s">
        <v>11</v>
      </c>
      <c r="F275" t="s">
        <v>35</v>
      </c>
      <c r="G275">
        <v>26</v>
      </c>
      <c r="H275" t="s">
        <v>137</v>
      </c>
      <c r="I275" t="s">
        <v>146</v>
      </c>
      <c r="J275" t="s">
        <v>13</v>
      </c>
      <c r="K275">
        <f>IF(AND(API_Cosevi[[#This Row],[Rol persona]]="Motociclista", OR(API_Cosevi[[#This Row],[Dia]]="Domingo", API_Cosevi[[#This Row],[Dia]]="Sabado")), 1, 0)</f>
        <v>0</v>
      </c>
      <c r="L275">
        <f>IF(AND(API_Cosevi[[#This Row],[Rol persona]]="Motociclista", OR(API_Cosevi[[#This Row],[Edad quinquenal]]="15 A 19", API_Cosevi[[#This Row],[Edad quinquenal]]="10 A 14")), 1, 0)</f>
        <v>0</v>
      </c>
    </row>
    <row r="276" spans="1:12" x14ac:dyDescent="0.3">
      <c r="A276" t="s">
        <v>22</v>
      </c>
      <c r="B276" t="s">
        <v>40</v>
      </c>
      <c r="C276" t="s">
        <v>86</v>
      </c>
      <c r="D276">
        <v>4</v>
      </c>
      <c r="E276" t="s">
        <v>25</v>
      </c>
      <c r="F276" t="s">
        <v>12</v>
      </c>
      <c r="G276">
        <v>34</v>
      </c>
      <c r="H276" t="s">
        <v>135</v>
      </c>
      <c r="I276" t="s">
        <v>146</v>
      </c>
      <c r="J276" t="s">
        <v>21</v>
      </c>
      <c r="K276">
        <f>IF(AND(API_Cosevi[[#This Row],[Rol persona]]="Motociclista", OR(API_Cosevi[[#This Row],[Dia]]="Domingo", API_Cosevi[[#This Row],[Dia]]="Sabado")), 1, 0)</f>
        <v>0</v>
      </c>
      <c r="L276">
        <f>IF(AND(API_Cosevi[[#This Row],[Rol persona]]="Motociclista", OR(API_Cosevi[[#This Row],[Edad quinquenal]]="15 A 19", API_Cosevi[[#This Row],[Edad quinquenal]]="10 A 14")), 1, 0)</f>
        <v>0</v>
      </c>
    </row>
    <row r="277" spans="1:12" x14ac:dyDescent="0.3">
      <c r="A277" t="s">
        <v>8</v>
      </c>
      <c r="B277" t="s">
        <v>29</v>
      </c>
      <c r="C277" t="s">
        <v>107</v>
      </c>
      <c r="D277">
        <v>708</v>
      </c>
      <c r="E277" t="s">
        <v>11</v>
      </c>
      <c r="F277" t="s">
        <v>12</v>
      </c>
      <c r="G277">
        <v>20</v>
      </c>
      <c r="H277" t="s">
        <v>134</v>
      </c>
      <c r="I277" t="s">
        <v>146</v>
      </c>
      <c r="J277" t="s">
        <v>17</v>
      </c>
      <c r="K277">
        <f>IF(AND(API_Cosevi[[#This Row],[Rol persona]]="Motociclista", OR(API_Cosevi[[#This Row],[Dia]]="Domingo", API_Cosevi[[#This Row],[Dia]]="Sabado")), 1, 0)</f>
        <v>0</v>
      </c>
      <c r="L277">
        <f>IF(AND(API_Cosevi[[#This Row],[Rol persona]]="Motociclista", OR(API_Cosevi[[#This Row],[Edad quinquenal]]="15 A 19", API_Cosevi[[#This Row],[Edad quinquenal]]="10 A 14")), 1, 0)</f>
        <v>0</v>
      </c>
    </row>
    <row r="278" spans="1:12" x14ac:dyDescent="0.3">
      <c r="A278" t="s">
        <v>8</v>
      </c>
      <c r="B278" t="s">
        <v>34</v>
      </c>
      <c r="C278" t="s">
        <v>34</v>
      </c>
      <c r="D278" t="s">
        <v>24</v>
      </c>
      <c r="E278" t="s">
        <v>11</v>
      </c>
      <c r="F278" t="s">
        <v>12</v>
      </c>
      <c r="G278">
        <v>39</v>
      </c>
      <c r="H278" t="s">
        <v>133</v>
      </c>
      <c r="I278" t="s">
        <v>146</v>
      </c>
      <c r="J278" t="s">
        <v>32</v>
      </c>
      <c r="K278">
        <f>IF(AND(API_Cosevi[[#This Row],[Rol persona]]="Motociclista", OR(API_Cosevi[[#This Row],[Dia]]="Domingo", API_Cosevi[[#This Row],[Dia]]="Sabado")), 1, 0)</f>
        <v>0</v>
      </c>
      <c r="L278">
        <f>IF(AND(API_Cosevi[[#This Row],[Rol persona]]="Motociclista", OR(API_Cosevi[[#This Row],[Edad quinquenal]]="15 A 19", API_Cosevi[[#This Row],[Edad quinquenal]]="10 A 14")), 1, 0)</f>
        <v>0</v>
      </c>
    </row>
    <row r="279" spans="1:12" x14ac:dyDescent="0.3">
      <c r="A279" t="s">
        <v>22</v>
      </c>
      <c r="B279" t="s">
        <v>14</v>
      </c>
      <c r="C279" t="s">
        <v>88</v>
      </c>
      <c r="D279">
        <v>2</v>
      </c>
      <c r="E279" t="s">
        <v>25</v>
      </c>
      <c r="F279" t="s">
        <v>12</v>
      </c>
      <c r="G279">
        <v>44</v>
      </c>
      <c r="H279" t="s">
        <v>138</v>
      </c>
      <c r="I279" t="s">
        <v>146</v>
      </c>
      <c r="J279" t="s">
        <v>28</v>
      </c>
      <c r="K279">
        <f>IF(AND(API_Cosevi[[#This Row],[Rol persona]]="Motociclista", OR(API_Cosevi[[#This Row],[Dia]]="Domingo", API_Cosevi[[#This Row],[Dia]]="Sabado")), 1, 0)</f>
        <v>0</v>
      </c>
      <c r="L279">
        <f>IF(AND(API_Cosevi[[#This Row],[Rol persona]]="Motociclista", OR(API_Cosevi[[#This Row],[Edad quinquenal]]="15 A 19", API_Cosevi[[#This Row],[Edad quinquenal]]="10 A 14")), 1, 0)</f>
        <v>0</v>
      </c>
    </row>
    <row r="280" spans="1:12" x14ac:dyDescent="0.3">
      <c r="A280" t="s">
        <v>87</v>
      </c>
      <c r="B280" t="s">
        <v>14</v>
      </c>
      <c r="C280" t="s">
        <v>14</v>
      </c>
      <c r="D280">
        <v>1</v>
      </c>
      <c r="E280" t="s">
        <v>16</v>
      </c>
      <c r="F280" t="s">
        <v>12</v>
      </c>
      <c r="G280">
        <v>14</v>
      </c>
      <c r="H280" t="s">
        <v>138</v>
      </c>
      <c r="I280" t="s">
        <v>146</v>
      </c>
      <c r="J280" t="s">
        <v>43</v>
      </c>
      <c r="K280">
        <f>IF(AND(API_Cosevi[[#This Row],[Rol persona]]="Motociclista", OR(API_Cosevi[[#This Row],[Dia]]="Domingo", API_Cosevi[[#This Row],[Dia]]="Sabado")), 1, 0)</f>
        <v>0</v>
      </c>
      <c r="L280">
        <f>IF(AND(API_Cosevi[[#This Row],[Rol persona]]="Motociclista", OR(API_Cosevi[[#This Row],[Edad quinquenal]]="15 A 19", API_Cosevi[[#This Row],[Edad quinquenal]]="10 A 14")), 1, 0)</f>
        <v>0</v>
      </c>
    </row>
    <row r="281" spans="1:12" x14ac:dyDescent="0.3">
      <c r="A281" t="s">
        <v>22</v>
      </c>
      <c r="B281" t="s">
        <v>14</v>
      </c>
      <c r="C281" t="s">
        <v>61</v>
      </c>
      <c r="D281">
        <v>34</v>
      </c>
      <c r="E281" t="s">
        <v>11</v>
      </c>
      <c r="F281" t="s">
        <v>12</v>
      </c>
      <c r="G281">
        <v>43</v>
      </c>
      <c r="H281" t="s">
        <v>138</v>
      </c>
      <c r="I281" t="s">
        <v>146</v>
      </c>
      <c r="J281" t="s">
        <v>28</v>
      </c>
      <c r="K281">
        <f>IF(AND(API_Cosevi[[#This Row],[Rol persona]]="Motociclista", OR(API_Cosevi[[#This Row],[Dia]]="Domingo", API_Cosevi[[#This Row],[Dia]]="Sabado")), 1, 0)</f>
        <v>1</v>
      </c>
      <c r="L281">
        <f>IF(AND(API_Cosevi[[#This Row],[Rol persona]]="Motociclista", OR(API_Cosevi[[#This Row],[Edad quinquenal]]="15 A 19", API_Cosevi[[#This Row],[Edad quinquenal]]="10 A 14")), 1, 0)</f>
        <v>0</v>
      </c>
    </row>
    <row r="282" spans="1:12" x14ac:dyDescent="0.3">
      <c r="A282" t="s">
        <v>22</v>
      </c>
      <c r="B282" t="s">
        <v>29</v>
      </c>
      <c r="C282" t="s">
        <v>48</v>
      </c>
      <c r="D282">
        <v>142</v>
      </c>
      <c r="E282" t="s">
        <v>25</v>
      </c>
      <c r="F282" t="s">
        <v>12</v>
      </c>
      <c r="G282">
        <v>28</v>
      </c>
      <c r="H282" t="s">
        <v>136</v>
      </c>
      <c r="I282" t="s">
        <v>146</v>
      </c>
      <c r="J282" t="s">
        <v>13</v>
      </c>
      <c r="K282">
        <f>IF(AND(API_Cosevi[[#This Row],[Rol persona]]="Motociclista", OR(API_Cosevi[[#This Row],[Dia]]="Domingo", API_Cosevi[[#This Row],[Dia]]="Sabado")), 1, 0)</f>
        <v>0</v>
      </c>
      <c r="L282">
        <f>IF(AND(API_Cosevi[[#This Row],[Rol persona]]="Motociclista", OR(API_Cosevi[[#This Row],[Edad quinquenal]]="15 A 19", API_Cosevi[[#This Row],[Edad quinquenal]]="10 A 14")), 1, 0)</f>
        <v>0</v>
      </c>
    </row>
    <row r="283" spans="1:12" x14ac:dyDescent="0.3">
      <c r="A283" t="s">
        <v>22</v>
      </c>
      <c r="B283" t="s">
        <v>14</v>
      </c>
      <c r="C283" t="s">
        <v>41</v>
      </c>
      <c r="D283">
        <v>34</v>
      </c>
      <c r="E283" t="s">
        <v>25</v>
      </c>
      <c r="F283" t="s">
        <v>12</v>
      </c>
      <c r="G283">
        <v>64</v>
      </c>
      <c r="H283" t="s">
        <v>136</v>
      </c>
      <c r="I283" t="s">
        <v>146</v>
      </c>
      <c r="J283" t="s">
        <v>49</v>
      </c>
      <c r="K283">
        <f>IF(AND(API_Cosevi[[#This Row],[Rol persona]]="Motociclista", OR(API_Cosevi[[#This Row],[Dia]]="Domingo", API_Cosevi[[#This Row],[Dia]]="Sabado")), 1, 0)</f>
        <v>0</v>
      </c>
      <c r="L283">
        <f>IF(AND(API_Cosevi[[#This Row],[Rol persona]]="Motociclista", OR(API_Cosevi[[#This Row],[Edad quinquenal]]="15 A 19", API_Cosevi[[#This Row],[Edad quinquenal]]="10 A 14")), 1, 0)</f>
        <v>0</v>
      </c>
    </row>
    <row r="284" spans="1:12" x14ac:dyDescent="0.3">
      <c r="A284" t="s">
        <v>22</v>
      </c>
      <c r="B284" t="s">
        <v>14</v>
      </c>
      <c r="C284" t="s">
        <v>41</v>
      </c>
      <c r="D284">
        <v>34</v>
      </c>
      <c r="E284" t="s">
        <v>16</v>
      </c>
      <c r="F284" t="s">
        <v>12</v>
      </c>
      <c r="G284">
        <v>57</v>
      </c>
      <c r="H284" t="s">
        <v>136</v>
      </c>
      <c r="I284" t="s">
        <v>146</v>
      </c>
      <c r="J284" t="s">
        <v>36</v>
      </c>
      <c r="K284">
        <f>IF(AND(API_Cosevi[[#This Row],[Rol persona]]="Motociclista", OR(API_Cosevi[[#This Row],[Dia]]="Domingo", API_Cosevi[[#This Row],[Dia]]="Sabado")), 1, 0)</f>
        <v>0</v>
      </c>
      <c r="L284">
        <f>IF(AND(API_Cosevi[[#This Row],[Rol persona]]="Motociclista", OR(API_Cosevi[[#This Row],[Edad quinquenal]]="15 A 19", API_Cosevi[[#This Row],[Edad quinquenal]]="10 A 14")), 1, 0)</f>
        <v>0</v>
      </c>
    </row>
    <row r="285" spans="1:12" x14ac:dyDescent="0.3">
      <c r="A285" t="s">
        <v>8</v>
      </c>
      <c r="B285" t="s">
        <v>14</v>
      </c>
      <c r="C285" t="s">
        <v>41</v>
      </c>
      <c r="D285">
        <v>34</v>
      </c>
      <c r="E285" t="s">
        <v>11</v>
      </c>
      <c r="F285" t="s">
        <v>12</v>
      </c>
      <c r="G285">
        <v>24</v>
      </c>
      <c r="H285" t="s">
        <v>136</v>
      </c>
      <c r="I285" t="s">
        <v>146</v>
      </c>
      <c r="J285" t="s">
        <v>17</v>
      </c>
      <c r="K285">
        <f>IF(AND(API_Cosevi[[#This Row],[Rol persona]]="Motociclista", OR(API_Cosevi[[#This Row],[Dia]]="Domingo", API_Cosevi[[#This Row],[Dia]]="Sabado")), 1, 0)</f>
        <v>0</v>
      </c>
      <c r="L285">
        <f>IF(AND(API_Cosevi[[#This Row],[Rol persona]]="Motociclista", OR(API_Cosevi[[#This Row],[Edad quinquenal]]="15 A 19", API_Cosevi[[#This Row],[Edad quinquenal]]="10 A 14")), 1, 0)</f>
        <v>0</v>
      </c>
    </row>
    <row r="286" spans="1:12" x14ac:dyDescent="0.3">
      <c r="A286" t="s">
        <v>8</v>
      </c>
      <c r="B286" t="s">
        <v>34</v>
      </c>
      <c r="C286" t="s">
        <v>34</v>
      </c>
      <c r="D286" t="s">
        <v>24</v>
      </c>
      <c r="E286" t="s">
        <v>25</v>
      </c>
      <c r="F286" t="s">
        <v>35</v>
      </c>
      <c r="G286">
        <v>27</v>
      </c>
      <c r="H286" t="s">
        <v>136</v>
      </c>
      <c r="I286" t="s">
        <v>146</v>
      </c>
      <c r="J286" t="s">
        <v>13</v>
      </c>
      <c r="K286">
        <f>IF(AND(API_Cosevi[[#This Row],[Rol persona]]="Motociclista", OR(API_Cosevi[[#This Row],[Dia]]="Domingo", API_Cosevi[[#This Row],[Dia]]="Sabado")), 1, 0)</f>
        <v>0</v>
      </c>
      <c r="L286">
        <f>IF(AND(API_Cosevi[[#This Row],[Rol persona]]="Motociclista", OR(API_Cosevi[[#This Row],[Edad quinquenal]]="15 A 19", API_Cosevi[[#This Row],[Edad quinquenal]]="10 A 14")), 1, 0)</f>
        <v>0</v>
      </c>
    </row>
    <row r="287" spans="1:12" x14ac:dyDescent="0.3">
      <c r="A287" t="s">
        <v>38</v>
      </c>
      <c r="B287" t="s">
        <v>40</v>
      </c>
      <c r="C287" t="s">
        <v>118</v>
      </c>
      <c r="D287">
        <v>3</v>
      </c>
      <c r="E287" t="s">
        <v>39</v>
      </c>
      <c r="F287" t="s">
        <v>35</v>
      </c>
      <c r="G287">
        <v>34</v>
      </c>
      <c r="H287" t="s">
        <v>134</v>
      </c>
      <c r="I287" t="s">
        <v>146</v>
      </c>
      <c r="J287" t="s">
        <v>21</v>
      </c>
      <c r="K287">
        <f>IF(AND(API_Cosevi[[#This Row],[Rol persona]]="Motociclista", OR(API_Cosevi[[#This Row],[Dia]]="Domingo", API_Cosevi[[#This Row],[Dia]]="Sabado")), 1, 0)</f>
        <v>0</v>
      </c>
      <c r="L287">
        <f>IF(AND(API_Cosevi[[#This Row],[Rol persona]]="Motociclista", OR(API_Cosevi[[#This Row],[Edad quinquenal]]="15 A 19", API_Cosevi[[#This Row],[Edad quinquenal]]="10 A 14")), 1, 0)</f>
        <v>0</v>
      </c>
    </row>
    <row r="288" spans="1:12" x14ac:dyDescent="0.3">
      <c r="A288" t="s">
        <v>38</v>
      </c>
      <c r="B288" t="s">
        <v>14</v>
      </c>
      <c r="C288" t="s">
        <v>18</v>
      </c>
      <c r="D288">
        <v>2</v>
      </c>
      <c r="E288" t="s">
        <v>39</v>
      </c>
      <c r="F288" t="s">
        <v>12</v>
      </c>
      <c r="G288">
        <v>27</v>
      </c>
      <c r="H288" t="s">
        <v>134</v>
      </c>
      <c r="I288" t="s">
        <v>146</v>
      </c>
      <c r="J288" t="s">
        <v>13</v>
      </c>
      <c r="K288">
        <f>IF(AND(API_Cosevi[[#This Row],[Rol persona]]="Motociclista", OR(API_Cosevi[[#This Row],[Dia]]="Domingo", API_Cosevi[[#This Row],[Dia]]="Sabado")), 1, 0)</f>
        <v>0</v>
      </c>
      <c r="L288">
        <f>IF(AND(API_Cosevi[[#This Row],[Rol persona]]="Motociclista", OR(API_Cosevi[[#This Row],[Edad quinquenal]]="15 A 19", API_Cosevi[[#This Row],[Edad quinquenal]]="10 A 14")), 1, 0)</f>
        <v>0</v>
      </c>
    </row>
    <row r="289" spans="1:12" x14ac:dyDescent="0.3">
      <c r="A289" t="s">
        <v>22</v>
      </c>
      <c r="B289" t="s">
        <v>9</v>
      </c>
      <c r="C289" t="s">
        <v>20</v>
      </c>
      <c r="D289">
        <v>1</v>
      </c>
      <c r="E289" t="s">
        <v>16</v>
      </c>
      <c r="F289" t="s">
        <v>12</v>
      </c>
      <c r="G289" t="s">
        <v>68</v>
      </c>
      <c r="H289" t="s">
        <v>133</v>
      </c>
      <c r="I289" t="s">
        <v>146</v>
      </c>
      <c r="J289" t="s">
        <v>68</v>
      </c>
      <c r="K289">
        <f>IF(AND(API_Cosevi[[#This Row],[Rol persona]]="Motociclista", OR(API_Cosevi[[#This Row],[Dia]]="Domingo", API_Cosevi[[#This Row],[Dia]]="Sabado")), 1, 0)</f>
        <v>0</v>
      </c>
      <c r="L289">
        <f>IF(AND(API_Cosevi[[#This Row],[Rol persona]]="Motociclista", OR(API_Cosevi[[#This Row],[Edad quinquenal]]="15 A 19", API_Cosevi[[#This Row],[Edad quinquenal]]="10 A 14")), 1, 0)</f>
        <v>0</v>
      </c>
    </row>
    <row r="290" spans="1:12" x14ac:dyDescent="0.3">
      <c r="A290" t="s">
        <v>22</v>
      </c>
      <c r="B290" t="s">
        <v>29</v>
      </c>
      <c r="C290" t="s">
        <v>74</v>
      </c>
      <c r="D290">
        <v>6</v>
      </c>
      <c r="E290" t="s">
        <v>25</v>
      </c>
      <c r="F290" t="s">
        <v>12</v>
      </c>
      <c r="G290">
        <v>25</v>
      </c>
      <c r="H290" t="s">
        <v>132</v>
      </c>
      <c r="I290" t="s">
        <v>146</v>
      </c>
      <c r="J290" t="s">
        <v>13</v>
      </c>
      <c r="K290">
        <f>IF(AND(API_Cosevi[[#This Row],[Rol persona]]="Motociclista", OR(API_Cosevi[[#This Row],[Dia]]="Domingo", API_Cosevi[[#This Row],[Dia]]="Sabado")), 1, 0)</f>
        <v>0</v>
      </c>
      <c r="L290">
        <f>IF(AND(API_Cosevi[[#This Row],[Rol persona]]="Motociclista", OR(API_Cosevi[[#This Row],[Edad quinquenal]]="15 A 19", API_Cosevi[[#This Row],[Edad quinquenal]]="10 A 14")), 1, 0)</f>
        <v>0</v>
      </c>
    </row>
    <row r="291" spans="1:12" x14ac:dyDescent="0.3">
      <c r="A291" t="s">
        <v>8</v>
      </c>
      <c r="B291" t="s">
        <v>64</v>
      </c>
      <c r="C291" t="s">
        <v>99</v>
      </c>
      <c r="D291">
        <v>36</v>
      </c>
      <c r="E291" t="s">
        <v>11</v>
      </c>
      <c r="F291" t="s">
        <v>12</v>
      </c>
      <c r="G291">
        <v>31</v>
      </c>
      <c r="H291" t="s">
        <v>138</v>
      </c>
      <c r="I291" t="s">
        <v>146</v>
      </c>
      <c r="J291" t="s">
        <v>21</v>
      </c>
      <c r="K291">
        <f>IF(AND(API_Cosevi[[#This Row],[Rol persona]]="Motociclista", OR(API_Cosevi[[#This Row],[Dia]]="Domingo", API_Cosevi[[#This Row],[Dia]]="Sabado")), 1, 0)</f>
        <v>1</v>
      </c>
      <c r="L291">
        <f>IF(AND(API_Cosevi[[#This Row],[Rol persona]]="Motociclista", OR(API_Cosevi[[#This Row],[Edad quinquenal]]="15 A 19", API_Cosevi[[#This Row],[Edad quinquenal]]="10 A 14")), 1, 0)</f>
        <v>0</v>
      </c>
    </row>
    <row r="292" spans="1:12" x14ac:dyDescent="0.3">
      <c r="A292" t="s">
        <v>38</v>
      </c>
      <c r="B292" t="s">
        <v>34</v>
      </c>
      <c r="C292" t="s">
        <v>44</v>
      </c>
      <c r="D292">
        <v>209</v>
      </c>
      <c r="E292" t="s">
        <v>39</v>
      </c>
      <c r="F292" t="s">
        <v>12</v>
      </c>
      <c r="G292">
        <v>16</v>
      </c>
      <c r="H292" t="s">
        <v>136</v>
      </c>
      <c r="I292" t="s">
        <v>146</v>
      </c>
      <c r="J292" t="s">
        <v>31</v>
      </c>
      <c r="K292">
        <f>IF(AND(API_Cosevi[[#This Row],[Rol persona]]="Motociclista", OR(API_Cosevi[[#This Row],[Dia]]="Domingo", API_Cosevi[[#This Row],[Dia]]="Sabado")), 1, 0)</f>
        <v>0</v>
      </c>
      <c r="L292">
        <f>IF(AND(API_Cosevi[[#This Row],[Rol persona]]="Motociclista", OR(API_Cosevi[[#This Row],[Edad quinquenal]]="15 A 19", API_Cosevi[[#This Row],[Edad quinquenal]]="10 A 14")), 1, 0)</f>
        <v>0</v>
      </c>
    </row>
    <row r="293" spans="1:12" x14ac:dyDescent="0.3">
      <c r="A293" t="s">
        <v>8</v>
      </c>
      <c r="B293" t="s">
        <v>29</v>
      </c>
      <c r="C293" t="s">
        <v>30</v>
      </c>
      <c r="D293">
        <v>27</v>
      </c>
      <c r="E293" t="s">
        <v>25</v>
      </c>
      <c r="F293" t="s">
        <v>12</v>
      </c>
      <c r="G293">
        <v>49</v>
      </c>
      <c r="H293" t="s">
        <v>135</v>
      </c>
      <c r="I293" t="s">
        <v>146</v>
      </c>
      <c r="J293" t="s">
        <v>19</v>
      </c>
      <c r="K293">
        <f>IF(AND(API_Cosevi[[#This Row],[Rol persona]]="Motociclista", OR(API_Cosevi[[#This Row],[Dia]]="Domingo", API_Cosevi[[#This Row],[Dia]]="Sabado")), 1, 0)</f>
        <v>0</v>
      </c>
      <c r="L293">
        <f>IF(AND(API_Cosevi[[#This Row],[Rol persona]]="Motociclista", OR(API_Cosevi[[#This Row],[Edad quinquenal]]="15 A 19", API_Cosevi[[#This Row],[Edad quinquenal]]="10 A 14")), 1, 0)</f>
        <v>0</v>
      </c>
    </row>
    <row r="294" spans="1:12" x14ac:dyDescent="0.3">
      <c r="A294" t="s">
        <v>22</v>
      </c>
      <c r="B294" t="s">
        <v>14</v>
      </c>
      <c r="C294" t="s">
        <v>14</v>
      </c>
      <c r="D294" t="s">
        <v>24</v>
      </c>
      <c r="E294" t="s">
        <v>11</v>
      </c>
      <c r="F294" t="s">
        <v>12</v>
      </c>
      <c r="G294">
        <v>30</v>
      </c>
      <c r="H294" t="s">
        <v>135</v>
      </c>
      <c r="I294" t="s">
        <v>146</v>
      </c>
      <c r="J294" t="s">
        <v>21</v>
      </c>
      <c r="K294">
        <f>IF(AND(API_Cosevi[[#This Row],[Rol persona]]="Motociclista", OR(API_Cosevi[[#This Row],[Dia]]="Domingo", API_Cosevi[[#This Row],[Dia]]="Sabado")), 1, 0)</f>
        <v>0</v>
      </c>
      <c r="L294">
        <f>IF(AND(API_Cosevi[[#This Row],[Rol persona]]="Motociclista", OR(API_Cosevi[[#This Row],[Edad quinquenal]]="15 A 19", API_Cosevi[[#This Row],[Edad quinquenal]]="10 A 14")), 1, 0)</f>
        <v>0</v>
      </c>
    </row>
    <row r="295" spans="1:12" x14ac:dyDescent="0.3">
      <c r="A295" t="s">
        <v>8</v>
      </c>
      <c r="B295" t="s">
        <v>29</v>
      </c>
      <c r="C295" t="s">
        <v>29</v>
      </c>
      <c r="D295" t="s">
        <v>117</v>
      </c>
      <c r="E295" t="s">
        <v>11</v>
      </c>
      <c r="F295" t="s">
        <v>12</v>
      </c>
      <c r="G295">
        <v>19</v>
      </c>
      <c r="H295" t="s">
        <v>134</v>
      </c>
      <c r="I295" t="s">
        <v>146</v>
      </c>
      <c r="J295" t="s">
        <v>31</v>
      </c>
      <c r="K295">
        <f>IF(AND(API_Cosevi[[#This Row],[Rol persona]]="Motociclista", OR(API_Cosevi[[#This Row],[Dia]]="Domingo", API_Cosevi[[#This Row],[Dia]]="Sabado")), 1, 0)</f>
        <v>0</v>
      </c>
      <c r="L295">
        <f>IF(AND(API_Cosevi[[#This Row],[Rol persona]]="Motociclista", OR(API_Cosevi[[#This Row],[Edad quinquenal]]="15 A 19", API_Cosevi[[#This Row],[Edad quinquenal]]="10 A 14")), 1, 0)</f>
        <v>1</v>
      </c>
    </row>
    <row r="296" spans="1:12" x14ac:dyDescent="0.3">
      <c r="A296" t="s">
        <v>22</v>
      </c>
      <c r="B296" t="s">
        <v>64</v>
      </c>
      <c r="C296" t="s">
        <v>101</v>
      </c>
      <c r="D296">
        <v>812</v>
      </c>
      <c r="E296" t="s">
        <v>11</v>
      </c>
      <c r="F296" t="s">
        <v>12</v>
      </c>
      <c r="G296">
        <v>23</v>
      </c>
      <c r="H296" t="s">
        <v>135</v>
      </c>
      <c r="I296" t="s">
        <v>146</v>
      </c>
      <c r="J296" t="s">
        <v>17</v>
      </c>
      <c r="K296">
        <f>IF(AND(API_Cosevi[[#This Row],[Rol persona]]="Motociclista", OR(API_Cosevi[[#This Row],[Dia]]="Domingo", API_Cosevi[[#This Row],[Dia]]="Sabado")), 1, 0)</f>
        <v>0</v>
      </c>
      <c r="L296">
        <f>IF(AND(API_Cosevi[[#This Row],[Rol persona]]="Motociclista", OR(API_Cosevi[[#This Row],[Edad quinquenal]]="15 A 19", API_Cosevi[[#This Row],[Edad quinquenal]]="10 A 14")), 1, 0)</f>
        <v>0</v>
      </c>
    </row>
    <row r="297" spans="1:12" x14ac:dyDescent="0.3">
      <c r="A297" t="s">
        <v>8</v>
      </c>
      <c r="B297" t="s">
        <v>14</v>
      </c>
      <c r="C297" t="s">
        <v>18</v>
      </c>
      <c r="D297">
        <v>34</v>
      </c>
      <c r="E297" t="s">
        <v>11</v>
      </c>
      <c r="F297" t="s">
        <v>12</v>
      </c>
      <c r="G297">
        <v>24</v>
      </c>
      <c r="H297" t="s">
        <v>133</v>
      </c>
      <c r="I297" t="s">
        <v>146</v>
      </c>
      <c r="J297" t="s">
        <v>17</v>
      </c>
      <c r="K297">
        <f>IF(AND(API_Cosevi[[#This Row],[Rol persona]]="Motociclista", OR(API_Cosevi[[#This Row],[Dia]]="Domingo", API_Cosevi[[#This Row],[Dia]]="Sabado")), 1, 0)</f>
        <v>0</v>
      </c>
      <c r="L297">
        <f>IF(AND(API_Cosevi[[#This Row],[Rol persona]]="Motociclista", OR(API_Cosevi[[#This Row],[Edad quinquenal]]="15 A 19", API_Cosevi[[#This Row],[Edad quinquenal]]="10 A 14")), 1, 0)</f>
        <v>0</v>
      </c>
    </row>
    <row r="298" spans="1:12" x14ac:dyDescent="0.3">
      <c r="A298" t="s">
        <v>8</v>
      </c>
      <c r="B298" t="s">
        <v>14</v>
      </c>
      <c r="C298" t="s">
        <v>14</v>
      </c>
      <c r="D298">
        <v>160</v>
      </c>
      <c r="E298" t="s">
        <v>11</v>
      </c>
      <c r="F298" t="s">
        <v>12</v>
      </c>
      <c r="G298">
        <v>40</v>
      </c>
      <c r="H298" t="s">
        <v>133</v>
      </c>
      <c r="I298" t="s">
        <v>146</v>
      </c>
      <c r="J298" t="s">
        <v>28</v>
      </c>
      <c r="K298">
        <f>IF(AND(API_Cosevi[[#This Row],[Rol persona]]="Motociclista", OR(API_Cosevi[[#This Row],[Dia]]="Domingo", API_Cosevi[[#This Row],[Dia]]="Sabado")), 1, 0)</f>
        <v>0</v>
      </c>
      <c r="L298">
        <f>IF(AND(API_Cosevi[[#This Row],[Rol persona]]="Motociclista", OR(API_Cosevi[[#This Row],[Edad quinquenal]]="15 A 19", API_Cosevi[[#This Row],[Edad quinquenal]]="10 A 14")), 1, 0)</f>
        <v>0</v>
      </c>
    </row>
    <row r="299" spans="1:12" x14ac:dyDescent="0.3">
      <c r="A299" t="s">
        <v>8</v>
      </c>
      <c r="B299" t="s">
        <v>14</v>
      </c>
      <c r="C299" t="s">
        <v>41</v>
      </c>
      <c r="D299">
        <v>34</v>
      </c>
      <c r="E299" t="s">
        <v>11</v>
      </c>
      <c r="F299" t="s">
        <v>12</v>
      </c>
      <c r="G299" t="s">
        <v>68</v>
      </c>
      <c r="H299" t="s">
        <v>133</v>
      </c>
      <c r="I299" t="s">
        <v>146</v>
      </c>
      <c r="J299" t="s">
        <v>68</v>
      </c>
      <c r="K299">
        <f>IF(AND(API_Cosevi[[#This Row],[Rol persona]]="Motociclista", OR(API_Cosevi[[#This Row],[Dia]]="Domingo", API_Cosevi[[#This Row],[Dia]]="Sabado")), 1, 0)</f>
        <v>0</v>
      </c>
      <c r="L299">
        <f>IF(AND(API_Cosevi[[#This Row],[Rol persona]]="Motociclista", OR(API_Cosevi[[#This Row],[Edad quinquenal]]="15 A 19", API_Cosevi[[#This Row],[Edad quinquenal]]="10 A 14")), 1, 0)</f>
        <v>0</v>
      </c>
    </row>
    <row r="300" spans="1:12" x14ac:dyDescent="0.3">
      <c r="A300" t="s">
        <v>8</v>
      </c>
      <c r="B300" t="s">
        <v>29</v>
      </c>
      <c r="C300" t="s">
        <v>93</v>
      </c>
      <c r="D300">
        <v>1</v>
      </c>
      <c r="E300" t="s">
        <v>11</v>
      </c>
      <c r="F300" t="s">
        <v>12</v>
      </c>
      <c r="G300">
        <v>44</v>
      </c>
      <c r="H300" t="s">
        <v>137</v>
      </c>
      <c r="I300" t="s">
        <v>147</v>
      </c>
      <c r="J300" t="s">
        <v>28</v>
      </c>
      <c r="K300">
        <f>IF(AND(API_Cosevi[[#This Row],[Rol persona]]="Motociclista", OR(API_Cosevi[[#This Row],[Dia]]="Domingo", API_Cosevi[[#This Row],[Dia]]="Sabado")), 1, 0)</f>
        <v>0</v>
      </c>
      <c r="L300">
        <f>IF(AND(API_Cosevi[[#This Row],[Rol persona]]="Motociclista", OR(API_Cosevi[[#This Row],[Edad quinquenal]]="15 A 19", API_Cosevi[[#This Row],[Edad quinquenal]]="10 A 14")), 1, 0)</f>
        <v>0</v>
      </c>
    </row>
    <row r="301" spans="1:12" x14ac:dyDescent="0.3">
      <c r="A301" t="s">
        <v>8</v>
      </c>
      <c r="B301" t="s">
        <v>14</v>
      </c>
      <c r="C301" t="s">
        <v>67</v>
      </c>
      <c r="D301" t="s">
        <v>24</v>
      </c>
      <c r="E301" t="s">
        <v>62</v>
      </c>
      <c r="F301" t="s">
        <v>35</v>
      </c>
      <c r="G301">
        <v>39</v>
      </c>
      <c r="H301" t="s">
        <v>137</v>
      </c>
      <c r="I301" t="s">
        <v>147</v>
      </c>
      <c r="J301" t="s">
        <v>32</v>
      </c>
      <c r="K301">
        <f>IF(AND(API_Cosevi[[#This Row],[Rol persona]]="Motociclista", OR(API_Cosevi[[#This Row],[Dia]]="Domingo", API_Cosevi[[#This Row],[Dia]]="Sabado")), 1, 0)</f>
        <v>0</v>
      </c>
      <c r="L301">
        <f>IF(AND(API_Cosevi[[#This Row],[Rol persona]]="Motociclista", OR(API_Cosevi[[#This Row],[Edad quinquenal]]="15 A 19", API_Cosevi[[#This Row],[Edad quinquenal]]="10 A 14")), 1, 0)</f>
        <v>0</v>
      </c>
    </row>
    <row r="302" spans="1:12" x14ac:dyDescent="0.3">
      <c r="A302" t="s">
        <v>33</v>
      </c>
      <c r="B302" t="s">
        <v>9</v>
      </c>
      <c r="C302" t="s">
        <v>96</v>
      </c>
      <c r="D302">
        <v>504</v>
      </c>
      <c r="E302" t="s">
        <v>158</v>
      </c>
      <c r="F302" t="s">
        <v>12</v>
      </c>
      <c r="G302">
        <v>62</v>
      </c>
      <c r="H302" t="s">
        <v>137</v>
      </c>
      <c r="I302" t="s">
        <v>147</v>
      </c>
      <c r="J302" t="s">
        <v>49</v>
      </c>
      <c r="K302">
        <f>IF(AND(API_Cosevi[[#This Row],[Rol persona]]="Motociclista", OR(API_Cosevi[[#This Row],[Dia]]="Domingo", API_Cosevi[[#This Row],[Dia]]="Sabado")), 1, 0)</f>
        <v>0</v>
      </c>
      <c r="L302">
        <f>IF(AND(API_Cosevi[[#This Row],[Rol persona]]="Motociclista", OR(API_Cosevi[[#This Row],[Edad quinquenal]]="15 A 19", API_Cosevi[[#This Row],[Edad quinquenal]]="10 A 14")), 1, 0)</f>
        <v>0</v>
      </c>
    </row>
    <row r="303" spans="1:12" x14ac:dyDescent="0.3">
      <c r="A303" t="s">
        <v>8</v>
      </c>
      <c r="B303" t="s">
        <v>40</v>
      </c>
      <c r="C303" t="s">
        <v>40</v>
      </c>
      <c r="D303">
        <v>1</v>
      </c>
      <c r="E303" t="s">
        <v>39</v>
      </c>
      <c r="F303" t="s">
        <v>12</v>
      </c>
      <c r="G303">
        <v>37</v>
      </c>
      <c r="H303" t="s">
        <v>136</v>
      </c>
      <c r="I303" t="s">
        <v>147</v>
      </c>
      <c r="J303" t="s">
        <v>32</v>
      </c>
      <c r="K303">
        <f>IF(AND(API_Cosevi[[#This Row],[Rol persona]]="Motociclista", OR(API_Cosevi[[#This Row],[Dia]]="Domingo", API_Cosevi[[#This Row],[Dia]]="Sabado")), 1, 0)</f>
        <v>0</v>
      </c>
      <c r="L303">
        <f>IF(AND(API_Cosevi[[#This Row],[Rol persona]]="Motociclista", OR(API_Cosevi[[#This Row],[Edad quinquenal]]="15 A 19", API_Cosevi[[#This Row],[Edad quinquenal]]="10 A 14")), 1, 0)</f>
        <v>0</v>
      </c>
    </row>
    <row r="304" spans="1:12" x14ac:dyDescent="0.3">
      <c r="A304" t="s">
        <v>22</v>
      </c>
      <c r="B304" t="s">
        <v>34</v>
      </c>
      <c r="C304" t="s">
        <v>80</v>
      </c>
      <c r="D304">
        <v>167</v>
      </c>
      <c r="E304" t="s">
        <v>11</v>
      </c>
      <c r="F304" t="s">
        <v>12</v>
      </c>
      <c r="G304">
        <v>37</v>
      </c>
      <c r="H304" t="s">
        <v>136</v>
      </c>
      <c r="I304" t="s">
        <v>147</v>
      </c>
      <c r="J304" t="s">
        <v>32</v>
      </c>
      <c r="K304">
        <f>IF(AND(API_Cosevi[[#This Row],[Rol persona]]="Motociclista", OR(API_Cosevi[[#This Row],[Dia]]="Domingo", API_Cosevi[[#This Row],[Dia]]="Sabado")), 1, 0)</f>
        <v>0</v>
      </c>
      <c r="L304">
        <f>IF(AND(API_Cosevi[[#This Row],[Rol persona]]="Motociclista", OR(API_Cosevi[[#This Row],[Edad quinquenal]]="15 A 19", API_Cosevi[[#This Row],[Edad quinquenal]]="10 A 14")), 1, 0)</f>
        <v>0</v>
      </c>
    </row>
    <row r="305" spans="1:12" x14ac:dyDescent="0.3">
      <c r="A305" t="s">
        <v>38</v>
      </c>
      <c r="B305" t="s">
        <v>64</v>
      </c>
      <c r="C305" t="s">
        <v>73</v>
      </c>
      <c r="D305">
        <v>256</v>
      </c>
      <c r="E305" t="s">
        <v>39</v>
      </c>
      <c r="F305" t="s">
        <v>12</v>
      </c>
      <c r="G305">
        <v>27</v>
      </c>
      <c r="H305" t="s">
        <v>134</v>
      </c>
      <c r="I305" t="s">
        <v>147</v>
      </c>
      <c r="J305" t="s">
        <v>13</v>
      </c>
      <c r="K305">
        <f>IF(AND(API_Cosevi[[#This Row],[Rol persona]]="Motociclista", OR(API_Cosevi[[#This Row],[Dia]]="Domingo", API_Cosevi[[#This Row],[Dia]]="Sabado")), 1, 0)</f>
        <v>0</v>
      </c>
      <c r="L305">
        <f>IF(AND(API_Cosevi[[#This Row],[Rol persona]]="Motociclista", OR(API_Cosevi[[#This Row],[Edad quinquenal]]="15 A 19", API_Cosevi[[#This Row],[Edad quinquenal]]="10 A 14")), 1, 0)</f>
        <v>0</v>
      </c>
    </row>
    <row r="306" spans="1:12" x14ac:dyDescent="0.3">
      <c r="A306" t="s">
        <v>8</v>
      </c>
      <c r="B306" t="s">
        <v>14</v>
      </c>
      <c r="C306" t="s">
        <v>18</v>
      </c>
      <c r="D306">
        <v>2</v>
      </c>
      <c r="E306" t="s">
        <v>11</v>
      </c>
      <c r="F306" t="s">
        <v>12</v>
      </c>
      <c r="G306">
        <v>62</v>
      </c>
      <c r="H306" t="s">
        <v>133</v>
      </c>
      <c r="I306" t="s">
        <v>147</v>
      </c>
      <c r="J306" t="s">
        <v>49</v>
      </c>
      <c r="K306">
        <f>IF(AND(API_Cosevi[[#This Row],[Rol persona]]="Motociclista", OR(API_Cosevi[[#This Row],[Dia]]="Domingo", API_Cosevi[[#This Row],[Dia]]="Sabado")), 1, 0)</f>
        <v>0</v>
      </c>
      <c r="L306">
        <f>IF(AND(API_Cosevi[[#This Row],[Rol persona]]="Motociclista", OR(API_Cosevi[[#This Row],[Edad quinquenal]]="15 A 19", API_Cosevi[[#This Row],[Edad quinquenal]]="10 A 14")), 1, 0)</f>
        <v>0</v>
      </c>
    </row>
    <row r="307" spans="1:12" x14ac:dyDescent="0.3">
      <c r="A307" t="s">
        <v>33</v>
      </c>
      <c r="B307" t="s">
        <v>9</v>
      </c>
      <c r="C307" t="s">
        <v>23</v>
      </c>
      <c r="D307">
        <v>21</v>
      </c>
      <c r="E307" t="s">
        <v>158</v>
      </c>
      <c r="F307" t="s">
        <v>12</v>
      </c>
      <c r="G307">
        <v>69</v>
      </c>
      <c r="H307" t="s">
        <v>133</v>
      </c>
      <c r="I307" t="s">
        <v>147</v>
      </c>
      <c r="J307" t="s">
        <v>27</v>
      </c>
      <c r="K307">
        <f>IF(AND(API_Cosevi[[#This Row],[Rol persona]]="Motociclista", OR(API_Cosevi[[#This Row],[Dia]]="Domingo", API_Cosevi[[#This Row],[Dia]]="Sabado")), 1, 0)</f>
        <v>0</v>
      </c>
      <c r="L307">
        <f>IF(AND(API_Cosevi[[#This Row],[Rol persona]]="Motociclista", OR(API_Cosevi[[#This Row],[Edad quinquenal]]="15 A 19", API_Cosevi[[#This Row],[Edad quinquenal]]="10 A 14")), 1, 0)</f>
        <v>0</v>
      </c>
    </row>
    <row r="308" spans="1:12" x14ac:dyDescent="0.3">
      <c r="A308" t="s">
        <v>33</v>
      </c>
      <c r="B308" t="s">
        <v>14</v>
      </c>
      <c r="C308" t="s">
        <v>41</v>
      </c>
      <c r="D308">
        <v>34</v>
      </c>
      <c r="E308" t="s">
        <v>158</v>
      </c>
      <c r="F308" t="s">
        <v>12</v>
      </c>
      <c r="G308">
        <v>34</v>
      </c>
      <c r="H308" t="s">
        <v>138</v>
      </c>
      <c r="I308" t="s">
        <v>147</v>
      </c>
      <c r="J308" t="s">
        <v>21</v>
      </c>
      <c r="K308">
        <f>IF(AND(API_Cosevi[[#This Row],[Rol persona]]="Motociclista", OR(API_Cosevi[[#This Row],[Dia]]="Domingo", API_Cosevi[[#This Row],[Dia]]="Sabado")), 1, 0)</f>
        <v>0</v>
      </c>
      <c r="L308">
        <f>IF(AND(API_Cosevi[[#This Row],[Rol persona]]="Motociclista", OR(API_Cosevi[[#This Row],[Edad quinquenal]]="15 A 19", API_Cosevi[[#This Row],[Edad quinquenal]]="10 A 14")), 1, 0)</f>
        <v>0</v>
      </c>
    </row>
    <row r="309" spans="1:12" x14ac:dyDescent="0.3">
      <c r="A309" t="s">
        <v>22</v>
      </c>
      <c r="B309" t="s">
        <v>29</v>
      </c>
      <c r="C309" t="s">
        <v>74</v>
      </c>
      <c r="D309" t="s">
        <v>24</v>
      </c>
      <c r="E309" t="s">
        <v>11</v>
      </c>
      <c r="F309" t="s">
        <v>12</v>
      </c>
      <c r="G309">
        <v>46</v>
      </c>
      <c r="H309" t="s">
        <v>138</v>
      </c>
      <c r="I309" t="s">
        <v>147</v>
      </c>
      <c r="J309" t="s">
        <v>19</v>
      </c>
      <c r="K309">
        <f>IF(AND(API_Cosevi[[#This Row],[Rol persona]]="Motociclista", OR(API_Cosevi[[#This Row],[Dia]]="Domingo", API_Cosevi[[#This Row],[Dia]]="Sabado")), 1, 0)</f>
        <v>1</v>
      </c>
      <c r="L309">
        <f>IF(AND(API_Cosevi[[#This Row],[Rol persona]]="Motociclista", OR(API_Cosevi[[#This Row],[Edad quinquenal]]="15 A 19", API_Cosevi[[#This Row],[Edad quinquenal]]="10 A 14")), 1, 0)</f>
        <v>0</v>
      </c>
    </row>
    <row r="310" spans="1:12" x14ac:dyDescent="0.3">
      <c r="A310" t="s">
        <v>22</v>
      </c>
      <c r="B310" t="s">
        <v>29</v>
      </c>
      <c r="C310" t="s">
        <v>48</v>
      </c>
      <c r="D310">
        <v>141</v>
      </c>
      <c r="E310" t="s">
        <v>16</v>
      </c>
      <c r="F310" t="s">
        <v>35</v>
      </c>
      <c r="G310">
        <v>30</v>
      </c>
      <c r="H310" t="s">
        <v>138</v>
      </c>
      <c r="I310" t="s">
        <v>147</v>
      </c>
      <c r="J310" t="s">
        <v>21</v>
      </c>
      <c r="K310">
        <f>IF(AND(API_Cosevi[[#This Row],[Rol persona]]="Motociclista", OR(API_Cosevi[[#This Row],[Dia]]="Domingo", API_Cosevi[[#This Row],[Dia]]="Sabado")), 1, 0)</f>
        <v>0</v>
      </c>
      <c r="L310">
        <f>IF(AND(API_Cosevi[[#This Row],[Rol persona]]="Motociclista", OR(API_Cosevi[[#This Row],[Edad quinquenal]]="15 A 19", API_Cosevi[[#This Row],[Edad quinquenal]]="10 A 14")), 1, 0)</f>
        <v>0</v>
      </c>
    </row>
    <row r="311" spans="1:12" x14ac:dyDescent="0.3">
      <c r="A311" t="s">
        <v>8</v>
      </c>
      <c r="B311" t="s">
        <v>29</v>
      </c>
      <c r="C311" t="s">
        <v>74</v>
      </c>
      <c r="D311">
        <v>4</v>
      </c>
      <c r="E311" t="s">
        <v>11</v>
      </c>
      <c r="F311" t="s">
        <v>35</v>
      </c>
      <c r="G311" t="s">
        <v>68</v>
      </c>
      <c r="H311" t="s">
        <v>138</v>
      </c>
      <c r="I311" t="s">
        <v>147</v>
      </c>
      <c r="J311" t="s">
        <v>68</v>
      </c>
      <c r="K311">
        <f>IF(AND(API_Cosevi[[#This Row],[Rol persona]]="Motociclista", OR(API_Cosevi[[#This Row],[Dia]]="Domingo", API_Cosevi[[#This Row],[Dia]]="Sabado")), 1, 0)</f>
        <v>1</v>
      </c>
      <c r="L311">
        <f>IF(AND(API_Cosevi[[#This Row],[Rol persona]]="Motociclista", OR(API_Cosevi[[#This Row],[Edad quinquenal]]="15 A 19", API_Cosevi[[#This Row],[Edad quinquenal]]="10 A 14")), 1, 0)</f>
        <v>0</v>
      </c>
    </row>
    <row r="312" spans="1:12" x14ac:dyDescent="0.3">
      <c r="A312" t="s">
        <v>8</v>
      </c>
      <c r="B312" t="s">
        <v>50</v>
      </c>
      <c r="C312" t="s">
        <v>108</v>
      </c>
      <c r="D312">
        <v>224</v>
      </c>
      <c r="E312" t="s">
        <v>11</v>
      </c>
      <c r="F312" t="s">
        <v>35</v>
      </c>
      <c r="G312">
        <v>22</v>
      </c>
      <c r="H312" t="s">
        <v>138</v>
      </c>
      <c r="I312" t="s">
        <v>147</v>
      </c>
      <c r="J312" t="s">
        <v>17</v>
      </c>
      <c r="K312">
        <f>IF(AND(API_Cosevi[[#This Row],[Rol persona]]="Motociclista", OR(API_Cosevi[[#This Row],[Dia]]="Domingo", API_Cosevi[[#This Row],[Dia]]="Sabado")), 1, 0)</f>
        <v>1</v>
      </c>
      <c r="L312">
        <f>IF(AND(API_Cosevi[[#This Row],[Rol persona]]="Motociclista", OR(API_Cosevi[[#This Row],[Edad quinquenal]]="15 A 19", API_Cosevi[[#This Row],[Edad quinquenal]]="10 A 14")), 1, 0)</f>
        <v>0</v>
      </c>
    </row>
    <row r="313" spans="1:12" x14ac:dyDescent="0.3">
      <c r="A313" t="s">
        <v>46</v>
      </c>
      <c r="B313" t="s">
        <v>34</v>
      </c>
      <c r="C313" t="s">
        <v>97</v>
      </c>
      <c r="D313">
        <v>2</v>
      </c>
      <c r="E313" t="s">
        <v>11</v>
      </c>
      <c r="F313" t="s">
        <v>12</v>
      </c>
      <c r="G313">
        <v>21</v>
      </c>
      <c r="H313" t="s">
        <v>138</v>
      </c>
      <c r="I313" t="s">
        <v>147</v>
      </c>
      <c r="J313" t="s">
        <v>17</v>
      </c>
      <c r="K313">
        <f>IF(AND(API_Cosevi[[#This Row],[Rol persona]]="Motociclista", OR(API_Cosevi[[#This Row],[Dia]]="Domingo", API_Cosevi[[#This Row],[Dia]]="Sabado")), 1, 0)</f>
        <v>1</v>
      </c>
      <c r="L313">
        <f>IF(AND(API_Cosevi[[#This Row],[Rol persona]]="Motociclista", OR(API_Cosevi[[#This Row],[Edad quinquenal]]="15 A 19", API_Cosevi[[#This Row],[Edad quinquenal]]="10 A 14")), 1, 0)</f>
        <v>0</v>
      </c>
    </row>
    <row r="314" spans="1:12" x14ac:dyDescent="0.3">
      <c r="A314" t="s">
        <v>8</v>
      </c>
      <c r="B314" t="s">
        <v>14</v>
      </c>
      <c r="C314" t="s">
        <v>14</v>
      </c>
      <c r="D314">
        <v>614</v>
      </c>
      <c r="E314" t="s">
        <v>11</v>
      </c>
      <c r="F314" t="s">
        <v>12</v>
      </c>
      <c r="G314" t="s">
        <v>68</v>
      </c>
      <c r="H314" t="s">
        <v>137</v>
      </c>
      <c r="I314" t="s">
        <v>147</v>
      </c>
      <c r="J314" t="s">
        <v>68</v>
      </c>
      <c r="K314">
        <f>IF(AND(API_Cosevi[[#This Row],[Rol persona]]="Motociclista", OR(API_Cosevi[[#This Row],[Dia]]="Domingo", API_Cosevi[[#This Row],[Dia]]="Sabado")), 1, 0)</f>
        <v>0</v>
      </c>
      <c r="L314">
        <f>IF(AND(API_Cosevi[[#This Row],[Rol persona]]="Motociclista", OR(API_Cosevi[[#This Row],[Edad quinquenal]]="15 A 19", API_Cosevi[[#This Row],[Edad quinquenal]]="10 A 14")), 1, 0)</f>
        <v>0</v>
      </c>
    </row>
    <row r="315" spans="1:12" x14ac:dyDescent="0.3">
      <c r="A315" t="s">
        <v>8</v>
      </c>
      <c r="B315" t="s">
        <v>29</v>
      </c>
      <c r="C315" t="s">
        <v>29</v>
      </c>
      <c r="D315">
        <v>1</v>
      </c>
      <c r="E315" t="s">
        <v>11</v>
      </c>
      <c r="F315" t="s">
        <v>12</v>
      </c>
      <c r="G315">
        <v>22</v>
      </c>
      <c r="H315" t="s">
        <v>136</v>
      </c>
      <c r="I315" t="s">
        <v>147</v>
      </c>
      <c r="J315" t="s">
        <v>17</v>
      </c>
      <c r="K315">
        <f>IF(AND(API_Cosevi[[#This Row],[Rol persona]]="Motociclista", OR(API_Cosevi[[#This Row],[Dia]]="Domingo", API_Cosevi[[#This Row],[Dia]]="Sabado")), 1, 0)</f>
        <v>0</v>
      </c>
      <c r="L315">
        <f>IF(AND(API_Cosevi[[#This Row],[Rol persona]]="Motociclista", OR(API_Cosevi[[#This Row],[Edad quinquenal]]="15 A 19", API_Cosevi[[#This Row],[Edad quinquenal]]="10 A 14")), 1, 0)</f>
        <v>0</v>
      </c>
    </row>
    <row r="316" spans="1:12" x14ac:dyDescent="0.3">
      <c r="A316" t="s">
        <v>8</v>
      </c>
      <c r="B316" t="s">
        <v>29</v>
      </c>
      <c r="C316" t="s">
        <v>30</v>
      </c>
      <c r="D316">
        <v>3</v>
      </c>
      <c r="E316" t="s">
        <v>11</v>
      </c>
      <c r="F316" t="s">
        <v>12</v>
      </c>
      <c r="G316">
        <v>20</v>
      </c>
      <c r="H316" t="s">
        <v>134</v>
      </c>
      <c r="I316" t="s">
        <v>147</v>
      </c>
      <c r="J316" t="s">
        <v>17</v>
      </c>
      <c r="K316">
        <f>IF(AND(API_Cosevi[[#This Row],[Rol persona]]="Motociclista", OR(API_Cosevi[[#This Row],[Dia]]="Domingo", API_Cosevi[[#This Row],[Dia]]="Sabado")), 1, 0)</f>
        <v>0</v>
      </c>
      <c r="L316">
        <f>IF(AND(API_Cosevi[[#This Row],[Rol persona]]="Motociclista", OR(API_Cosevi[[#This Row],[Edad quinquenal]]="15 A 19", API_Cosevi[[#This Row],[Edad quinquenal]]="10 A 14")), 1, 0)</f>
        <v>0</v>
      </c>
    </row>
    <row r="317" spans="1:12" x14ac:dyDescent="0.3">
      <c r="A317" t="s">
        <v>22</v>
      </c>
      <c r="B317" t="s">
        <v>34</v>
      </c>
      <c r="C317" t="s">
        <v>84</v>
      </c>
      <c r="D317" t="s">
        <v>24</v>
      </c>
      <c r="E317" t="s">
        <v>25</v>
      </c>
      <c r="F317" t="s">
        <v>35</v>
      </c>
      <c r="G317">
        <v>34</v>
      </c>
      <c r="H317" t="s">
        <v>134</v>
      </c>
      <c r="I317" t="s">
        <v>147</v>
      </c>
      <c r="J317" t="s">
        <v>21</v>
      </c>
      <c r="K317">
        <f>IF(AND(API_Cosevi[[#This Row],[Rol persona]]="Motociclista", OR(API_Cosevi[[#This Row],[Dia]]="Domingo", API_Cosevi[[#This Row],[Dia]]="Sabado")), 1, 0)</f>
        <v>0</v>
      </c>
      <c r="L317">
        <f>IF(AND(API_Cosevi[[#This Row],[Rol persona]]="Motociclista", OR(API_Cosevi[[#This Row],[Edad quinquenal]]="15 A 19", API_Cosevi[[#This Row],[Edad quinquenal]]="10 A 14")), 1, 0)</f>
        <v>0</v>
      </c>
    </row>
    <row r="318" spans="1:12" x14ac:dyDescent="0.3">
      <c r="A318" t="s">
        <v>8</v>
      </c>
      <c r="B318" t="s">
        <v>50</v>
      </c>
      <c r="C318" t="s">
        <v>108</v>
      </c>
      <c r="D318" t="s">
        <v>24</v>
      </c>
      <c r="E318" t="s">
        <v>62</v>
      </c>
      <c r="F318" t="s">
        <v>12</v>
      </c>
      <c r="G318">
        <v>26</v>
      </c>
      <c r="H318" t="s">
        <v>133</v>
      </c>
      <c r="I318" t="s">
        <v>147</v>
      </c>
      <c r="J318" t="s">
        <v>13</v>
      </c>
      <c r="K318">
        <f>IF(AND(API_Cosevi[[#This Row],[Rol persona]]="Motociclista", OR(API_Cosevi[[#This Row],[Dia]]="Domingo", API_Cosevi[[#This Row],[Dia]]="Sabado")), 1, 0)</f>
        <v>0</v>
      </c>
      <c r="L318">
        <f>IF(AND(API_Cosevi[[#This Row],[Rol persona]]="Motociclista", OR(API_Cosevi[[#This Row],[Edad quinquenal]]="15 A 19", API_Cosevi[[#This Row],[Edad quinquenal]]="10 A 14")), 1, 0)</f>
        <v>0</v>
      </c>
    </row>
    <row r="319" spans="1:12" x14ac:dyDescent="0.3">
      <c r="A319" t="s">
        <v>8</v>
      </c>
      <c r="B319" t="s">
        <v>14</v>
      </c>
      <c r="C319" t="s">
        <v>41</v>
      </c>
      <c r="D319">
        <v>34</v>
      </c>
      <c r="E319" t="s">
        <v>62</v>
      </c>
      <c r="F319" t="s">
        <v>35</v>
      </c>
      <c r="G319">
        <v>36</v>
      </c>
      <c r="H319" t="s">
        <v>132</v>
      </c>
      <c r="I319" t="s">
        <v>147</v>
      </c>
      <c r="J319" t="s">
        <v>32</v>
      </c>
      <c r="K319">
        <f>IF(AND(API_Cosevi[[#This Row],[Rol persona]]="Motociclista", OR(API_Cosevi[[#This Row],[Dia]]="Domingo", API_Cosevi[[#This Row],[Dia]]="Sabado")), 1, 0)</f>
        <v>0</v>
      </c>
      <c r="L319">
        <f>IF(AND(API_Cosevi[[#This Row],[Rol persona]]="Motociclista", OR(API_Cosevi[[#This Row],[Edad quinquenal]]="15 A 19", API_Cosevi[[#This Row],[Edad quinquenal]]="10 A 14")), 1, 0)</f>
        <v>0</v>
      </c>
    </row>
    <row r="320" spans="1:12" x14ac:dyDescent="0.3">
      <c r="A320" t="s">
        <v>46</v>
      </c>
      <c r="B320" t="s">
        <v>50</v>
      </c>
      <c r="C320" t="s">
        <v>50</v>
      </c>
      <c r="D320">
        <v>2</v>
      </c>
      <c r="E320" t="s">
        <v>25</v>
      </c>
      <c r="F320" t="s">
        <v>12</v>
      </c>
      <c r="G320">
        <v>25</v>
      </c>
      <c r="H320" t="s">
        <v>132</v>
      </c>
      <c r="I320" t="s">
        <v>147</v>
      </c>
      <c r="J320" t="s">
        <v>13</v>
      </c>
      <c r="K320">
        <f>IF(AND(API_Cosevi[[#This Row],[Rol persona]]="Motociclista", OR(API_Cosevi[[#This Row],[Dia]]="Domingo", API_Cosevi[[#This Row],[Dia]]="Sabado")), 1, 0)</f>
        <v>0</v>
      </c>
      <c r="L320">
        <f>IF(AND(API_Cosevi[[#This Row],[Rol persona]]="Motociclista", OR(API_Cosevi[[#This Row],[Edad quinquenal]]="15 A 19", API_Cosevi[[#This Row],[Edad quinquenal]]="10 A 14")), 1, 0)</f>
        <v>0</v>
      </c>
    </row>
    <row r="321" spans="1:12" x14ac:dyDescent="0.3">
      <c r="A321" t="s">
        <v>8</v>
      </c>
      <c r="B321" t="s">
        <v>14</v>
      </c>
      <c r="C321" t="s">
        <v>71</v>
      </c>
      <c r="D321">
        <v>23</v>
      </c>
      <c r="E321" t="s">
        <v>25</v>
      </c>
      <c r="F321" t="s">
        <v>12</v>
      </c>
      <c r="G321">
        <v>43</v>
      </c>
      <c r="H321" t="s">
        <v>132</v>
      </c>
      <c r="I321" t="s">
        <v>147</v>
      </c>
      <c r="J321" t="s">
        <v>28</v>
      </c>
      <c r="K321">
        <f>IF(AND(API_Cosevi[[#This Row],[Rol persona]]="Motociclista", OR(API_Cosevi[[#This Row],[Dia]]="Domingo", API_Cosevi[[#This Row],[Dia]]="Sabado")), 1, 0)</f>
        <v>0</v>
      </c>
      <c r="L321">
        <f>IF(AND(API_Cosevi[[#This Row],[Rol persona]]="Motociclista", OR(API_Cosevi[[#This Row],[Edad quinquenal]]="15 A 19", API_Cosevi[[#This Row],[Edad quinquenal]]="10 A 14")), 1, 0)</f>
        <v>0</v>
      </c>
    </row>
    <row r="322" spans="1:12" x14ac:dyDescent="0.3">
      <c r="A322" t="s">
        <v>46</v>
      </c>
      <c r="B322" t="s">
        <v>34</v>
      </c>
      <c r="C322" t="s">
        <v>34</v>
      </c>
      <c r="D322" t="s">
        <v>24</v>
      </c>
      <c r="E322" t="s">
        <v>39</v>
      </c>
      <c r="F322" t="s">
        <v>12</v>
      </c>
      <c r="G322">
        <v>59</v>
      </c>
      <c r="H322" t="s">
        <v>138</v>
      </c>
      <c r="I322" t="s">
        <v>147</v>
      </c>
      <c r="J322" t="s">
        <v>36</v>
      </c>
      <c r="K322">
        <f>IF(AND(API_Cosevi[[#This Row],[Rol persona]]="Motociclista", OR(API_Cosevi[[#This Row],[Dia]]="Domingo", API_Cosevi[[#This Row],[Dia]]="Sabado")), 1, 0)</f>
        <v>0</v>
      </c>
      <c r="L322">
        <f>IF(AND(API_Cosevi[[#This Row],[Rol persona]]="Motociclista", OR(API_Cosevi[[#This Row],[Edad quinquenal]]="15 A 19", API_Cosevi[[#This Row],[Edad quinquenal]]="10 A 14")), 1, 0)</f>
        <v>0</v>
      </c>
    </row>
    <row r="323" spans="1:12" x14ac:dyDescent="0.3">
      <c r="A323" t="s">
        <v>8</v>
      </c>
      <c r="B323" t="s">
        <v>64</v>
      </c>
      <c r="C323" t="s">
        <v>70</v>
      </c>
      <c r="D323">
        <v>247</v>
      </c>
      <c r="E323" t="s">
        <v>11</v>
      </c>
      <c r="F323" t="s">
        <v>12</v>
      </c>
      <c r="G323">
        <v>39</v>
      </c>
      <c r="H323" t="s">
        <v>138</v>
      </c>
      <c r="I323" t="s">
        <v>147</v>
      </c>
      <c r="J323" t="s">
        <v>32</v>
      </c>
      <c r="K323">
        <f>IF(AND(API_Cosevi[[#This Row],[Rol persona]]="Motociclista", OR(API_Cosevi[[#This Row],[Dia]]="Domingo", API_Cosevi[[#This Row],[Dia]]="Sabado")), 1, 0)</f>
        <v>1</v>
      </c>
      <c r="L323">
        <f>IF(AND(API_Cosevi[[#This Row],[Rol persona]]="Motociclista", OR(API_Cosevi[[#This Row],[Edad quinquenal]]="15 A 19", API_Cosevi[[#This Row],[Edad quinquenal]]="10 A 14")), 1, 0)</f>
        <v>0</v>
      </c>
    </row>
    <row r="324" spans="1:12" x14ac:dyDescent="0.3">
      <c r="A324" t="s">
        <v>8</v>
      </c>
      <c r="B324" t="s">
        <v>9</v>
      </c>
      <c r="C324" t="s">
        <v>52</v>
      </c>
      <c r="D324">
        <v>912</v>
      </c>
      <c r="E324" t="s">
        <v>11</v>
      </c>
      <c r="F324" t="s">
        <v>12</v>
      </c>
      <c r="G324">
        <v>63</v>
      </c>
      <c r="H324" t="s">
        <v>137</v>
      </c>
      <c r="I324" t="s">
        <v>147</v>
      </c>
      <c r="J324" t="s">
        <v>49</v>
      </c>
      <c r="K324">
        <f>IF(AND(API_Cosevi[[#This Row],[Rol persona]]="Motociclista", OR(API_Cosevi[[#This Row],[Dia]]="Domingo", API_Cosevi[[#This Row],[Dia]]="Sabado")), 1, 0)</f>
        <v>0</v>
      </c>
      <c r="L324">
        <f>IF(AND(API_Cosevi[[#This Row],[Rol persona]]="Motociclista", OR(API_Cosevi[[#This Row],[Edad quinquenal]]="15 A 19", API_Cosevi[[#This Row],[Edad quinquenal]]="10 A 14")), 1, 0)</f>
        <v>0</v>
      </c>
    </row>
    <row r="325" spans="1:12" x14ac:dyDescent="0.3">
      <c r="A325" t="s">
        <v>38</v>
      </c>
      <c r="B325" t="s">
        <v>14</v>
      </c>
      <c r="C325" t="s">
        <v>119</v>
      </c>
      <c r="D325">
        <v>2</v>
      </c>
      <c r="E325" t="s">
        <v>39</v>
      </c>
      <c r="F325" t="s">
        <v>12</v>
      </c>
      <c r="G325">
        <v>33</v>
      </c>
      <c r="H325" t="s">
        <v>137</v>
      </c>
      <c r="I325" t="s">
        <v>147</v>
      </c>
      <c r="J325" t="s">
        <v>21</v>
      </c>
      <c r="K325">
        <f>IF(AND(API_Cosevi[[#This Row],[Rol persona]]="Motociclista", OR(API_Cosevi[[#This Row],[Dia]]="Domingo", API_Cosevi[[#This Row],[Dia]]="Sabado")), 1, 0)</f>
        <v>0</v>
      </c>
      <c r="L325">
        <f>IF(AND(API_Cosevi[[#This Row],[Rol persona]]="Motociclista", OR(API_Cosevi[[#This Row],[Edad quinquenal]]="15 A 19", API_Cosevi[[#This Row],[Edad quinquenal]]="10 A 14")), 1, 0)</f>
        <v>0</v>
      </c>
    </row>
    <row r="326" spans="1:12" x14ac:dyDescent="0.3">
      <c r="A326" t="s">
        <v>33</v>
      </c>
      <c r="B326" t="s">
        <v>64</v>
      </c>
      <c r="C326" t="s">
        <v>70</v>
      </c>
      <c r="D326">
        <v>32</v>
      </c>
      <c r="E326" t="s">
        <v>158</v>
      </c>
      <c r="F326" t="s">
        <v>12</v>
      </c>
      <c r="G326">
        <v>38</v>
      </c>
      <c r="H326" t="s">
        <v>136</v>
      </c>
      <c r="I326" t="s">
        <v>147</v>
      </c>
      <c r="J326" t="s">
        <v>32</v>
      </c>
      <c r="K326">
        <f>IF(AND(API_Cosevi[[#This Row],[Rol persona]]="Motociclista", OR(API_Cosevi[[#This Row],[Dia]]="Domingo", API_Cosevi[[#This Row],[Dia]]="Sabado")), 1, 0)</f>
        <v>0</v>
      </c>
      <c r="L326">
        <f>IF(AND(API_Cosevi[[#This Row],[Rol persona]]="Motociclista", OR(API_Cosevi[[#This Row],[Edad quinquenal]]="15 A 19", API_Cosevi[[#This Row],[Edad quinquenal]]="10 A 14")), 1, 0)</f>
        <v>0</v>
      </c>
    </row>
    <row r="327" spans="1:12" x14ac:dyDescent="0.3">
      <c r="A327" t="s">
        <v>33</v>
      </c>
      <c r="B327" t="s">
        <v>34</v>
      </c>
      <c r="C327" t="s">
        <v>84</v>
      </c>
      <c r="D327">
        <v>2</v>
      </c>
      <c r="E327" t="s">
        <v>158</v>
      </c>
      <c r="F327" t="s">
        <v>12</v>
      </c>
      <c r="G327">
        <v>66</v>
      </c>
      <c r="H327" t="s">
        <v>136</v>
      </c>
      <c r="I327" t="s">
        <v>147</v>
      </c>
      <c r="J327" t="s">
        <v>27</v>
      </c>
      <c r="K327">
        <f>IF(AND(API_Cosevi[[#This Row],[Rol persona]]="Motociclista", OR(API_Cosevi[[#This Row],[Dia]]="Domingo", API_Cosevi[[#This Row],[Dia]]="Sabado")), 1, 0)</f>
        <v>0</v>
      </c>
      <c r="L327">
        <f>IF(AND(API_Cosevi[[#This Row],[Rol persona]]="Motociclista", OR(API_Cosevi[[#This Row],[Edad quinquenal]]="15 A 19", API_Cosevi[[#This Row],[Edad quinquenal]]="10 A 14")), 1, 0)</f>
        <v>0</v>
      </c>
    </row>
    <row r="328" spans="1:12" x14ac:dyDescent="0.3">
      <c r="A328" t="s">
        <v>87</v>
      </c>
      <c r="B328" t="s">
        <v>29</v>
      </c>
      <c r="C328" t="s">
        <v>48</v>
      </c>
      <c r="D328">
        <v>142</v>
      </c>
      <c r="E328" t="s">
        <v>11</v>
      </c>
      <c r="F328" t="s">
        <v>12</v>
      </c>
      <c r="G328">
        <v>19</v>
      </c>
      <c r="H328" t="s">
        <v>135</v>
      </c>
      <c r="I328" t="s">
        <v>147</v>
      </c>
      <c r="J328" t="s">
        <v>31</v>
      </c>
      <c r="K328">
        <f>IF(AND(API_Cosevi[[#This Row],[Rol persona]]="Motociclista", OR(API_Cosevi[[#This Row],[Dia]]="Domingo", API_Cosevi[[#This Row],[Dia]]="Sabado")), 1, 0)</f>
        <v>0</v>
      </c>
      <c r="L328">
        <f>IF(AND(API_Cosevi[[#This Row],[Rol persona]]="Motociclista", OR(API_Cosevi[[#This Row],[Edad quinquenal]]="15 A 19", API_Cosevi[[#This Row],[Edad quinquenal]]="10 A 14")), 1, 0)</f>
        <v>1</v>
      </c>
    </row>
    <row r="329" spans="1:12" x14ac:dyDescent="0.3">
      <c r="A329" t="s">
        <v>38</v>
      </c>
      <c r="B329" t="s">
        <v>64</v>
      </c>
      <c r="C329" t="s">
        <v>120</v>
      </c>
      <c r="D329">
        <v>32</v>
      </c>
      <c r="E329" t="s">
        <v>39</v>
      </c>
      <c r="F329" t="s">
        <v>12</v>
      </c>
      <c r="G329">
        <v>37</v>
      </c>
      <c r="H329" t="s">
        <v>135</v>
      </c>
      <c r="I329" t="s">
        <v>147</v>
      </c>
      <c r="J329" t="s">
        <v>32</v>
      </c>
      <c r="K329">
        <f>IF(AND(API_Cosevi[[#This Row],[Rol persona]]="Motociclista", OR(API_Cosevi[[#This Row],[Dia]]="Domingo", API_Cosevi[[#This Row],[Dia]]="Sabado")), 1, 0)</f>
        <v>0</v>
      </c>
      <c r="L329">
        <f>IF(AND(API_Cosevi[[#This Row],[Rol persona]]="Motociclista", OR(API_Cosevi[[#This Row],[Edad quinquenal]]="15 A 19", API_Cosevi[[#This Row],[Edad quinquenal]]="10 A 14")), 1, 0)</f>
        <v>0</v>
      </c>
    </row>
    <row r="330" spans="1:12" x14ac:dyDescent="0.3">
      <c r="A330" t="s">
        <v>8</v>
      </c>
      <c r="B330" t="s">
        <v>34</v>
      </c>
      <c r="C330" t="s">
        <v>78</v>
      </c>
      <c r="D330">
        <v>121</v>
      </c>
      <c r="E330" t="s">
        <v>11</v>
      </c>
      <c r="F330" t="s">
        <v>12</v>
      </c>
      <c r="G330">
        <v>27</v>
      </c>
      <c r="H330" t="s">
        <v>135</v>
      </c>
      <c r="I330" t="s">
        <v>147</v>
      </c>
      <c r="J330" t="s">
        <v>13</v>
      </c>
      <c r="K330">
        <f>IF(AND(API_Cosevi[[#This Row],[Rol persona]]="Motociclista", OR(API_Cosevi[[#This Row],[Dia]]="Domingo", API_Cosevi[[#This Row],[Dia]]="Sabado")), 1, 0)</f>
        <v>0</v>
      </c>
      <c r="L330">
        <f>IF(AND(API_Cosevi[[#This Row],[Rol persona]]="Motociclista", OR(API_Cosevi[[#This Row],[Edad quinquenal]]="15 A 19", API_Cosevi[[#This Row],[Edad quinquenal]]="10 A 14")), 1, 0)</f>
        <v>0</v>
      </c>
    </row>
    <row r="331" spans="1:12" x14ac:dyDescent="0.3">
      <c r="A331" t="s">
        <v>33</v>
      </c>
      <c r="B331" t="s">
        <v>64</v>
      </c>
      <c r="C331" t="s">
        <v>70</v>
      </c>
      <c r="D331">
        <v>247</v>
      </c>
      <c r="E331" t="s">
        <v>39</v>
      </c>
      <c r="F331" t="s">
        <v>12</v>
      </c>
      <c r="G331">
        <v>44</v>
      </c>
      <c r="H331" t="s">
        <v>135</v>
      </c>
      <c r="I331" t="s">
        <v>147</v>
      </c>
      <c r="J331" t="s">
        <v>28</v>
      </c>
      <c r="K331">
        <f>IF(AND(API_Cosevi[[#This Row],[Rol persona]]="Motociclista", OR(API_Cosevi[[#This Row],[Dia]]="Domingo", API_Cosevi[[#This Row],[Dia]]="Sabado")), 1, 0)</f>
        <v>0</v>
      </c>
      <c r="L331">
        <f>IF(AND(API_Cosevi[[#This Row],[Rol persona]]="Motociclista", OR(API_Cosevi[[#This Row],[Edad quinquenal]]="15 A 19", API_Cosevi[[#This Row],[Edad quinquenal]]="10 A 14")), 1, 0)</f>
        <v>0</v>
      </c>
    </row>
    <row r="332" spans="1:12" x14ac:dyDescent="0.3">
      <c r="A332" t="s">
        <v>38</v>
      </c>
      <c r="B332" t="s">
        <v>9</v>
      </c>
      <c r="C332" t="s">
        <v>23</v>
      </c>
      <c r="D332">
        <v>21</v>
      </c>
      <c r="E332" t="s">
        <v>121</v>
      </c>
      <c r="F332" t="s">
        <v>35</v>
      </c>
      <c r="G332">
        <v>22</v>
      </c>
      <c r="H332" t="s">
        <v>135</v>
      </c>
      <c r="I332" t="s">
        <v>147</v>
      </c>
      <c r="J332" t="s">
        <v>17</v>
      </c>
      <c r="K332">
        <f>IF(AND(API_Cosevi[[#This Row],[Rol persona]]="Motociclista", OR(API_Cosevi[[#This Row],[Dia]]="Domingo", API_Cosevi[[#This Row],[Dia]]="Sabado")), 1, 0)</f>
        <v>0</v>
      </c>
      <c r="L332">
        <f>IF(AND(API_Cosevi[[#This Row],[Rol persona]]="Motociclista", OR(API_Cosevi[[#This Row],[Edad quinquenal]]="15 A 19", API_Cosevi[[#This Row],[Edad quinquenal]]="10 A 14")), 1, 0)</f>
        <v>0</v>
      </c>
    </row>
    <row r="333" spans="1:12" x14ac:dyDescent="0.3">
      <c r="A333" t="s">
        <v>8</v>
      </c>
      <c r="B333" t="s">
        <v>29</v>
      </c>
      <c r="C333" t="s">
        <v>29</v>
      </c>
      <c r="D333">
        <v>1</v>
      </c>
      <c r="E333" t="s">
        <v>11</v>
      </c>
      <c r="F333" t="s">
        <v>12</v>
      </c>
      <c r="G333">
        <v>44</v>
      </c>
      <c r="H333" t="s">
        <v>134</v>
      </c>
      <c r="I333" t="s">
        <v>147</v>
      </c>
      <c r="J333" t="s">
        <v>28</v>
      </c>
      <c r="K333">
        <f>IF(AND(API_Cosevi[[#This Row],[Rol persona]]="Motociclista", OR(API_Cosevi[[#This Row],[Dia]]="Domingo", API_Cosevi[[#This Row],[Dia]]="Sabado")), 1, 0)</f>
        <v>0</v>
      </c>
      <c r="L333">
        <f>IF(AND(API_Cosevi[[#This Row],[Rol persona]]="Motociclista", OR(API_Cosevi[[#This Row],[Edad quinquenal]]="15 A 19", API_Cosevi[[#This Row],[Edad quinquenal]]="10 A 14")), 1, 0)</f>
        <v>0</v>
      </c>
    </row>
    <row r="334" spans="1:12" x14ac:dyDescent="0.3">
      <c r="A334" t="s">
        <v>8</v>
      </c>
      <c r="B334" t="s">
        <v>40</v>
      </c>
      <c r="C334" t="s">
        <v>40</v>
      </c>
      <c r="D334">
        <v>1</v>
      </c>
      <c r="E334" t="s">
        <v>11</v>
      </c>
      <c r="F334" t="s">
        <v>12</v>
      </c>
      <c r="G334">
        <v>28</v>
      </c>
      <c r="H334" t="s">
        <v>134</v>
      </c>
      <c r="I334" t="s">
        <v>147</v>
      </c>
      <c r="J334" t="s">
        <v>13</v>
      </c>
      <c r="K334">
        <f>IF(AND(API_Cosevi[[#This Row],[Rol persona]]="Motociclista", OR(API_Cosevi[[#This Row],[Dia]]="Domingo", API_Cosevi[[#This Row],[Dia]]="Sabado")), 1, 0)</f>
        <v>0</v>
      </c>
      <c r="L334">
        <f>IF(AND(API_Cosevi[[#This Row],[Rol persona]]="Motociclista", OR(API_Cosevi[[#This Row],[Edad quinquenal]]="15 A 19", API_Cosevi[[#This Row],[Edad quinquenal]]="10 A 14")), 1, 0)</f>
        <v>0</v>
      </c>
    </row>
    <row r="335" spans="1:12" x14ac:dyDescent="0.3">
      <c r="A335" t="s">
        <v>33</v>
      </c>
      <c r="B335" t="s">
        <v>40</v>
      </c>
      <c r="C335" t="s">
        <v>86</v>
      </c>
      <c r="D335">
        <v>229</v>
      </c>
      <c r="E335" t="s">
        <v>39</v>
      </c>
      <c r="F335" t="s">
        <v>12</v>
      </c>
      <c r="G335">
        <v>43</v>
      </c>
      <c r="H335" t="s">
        <v>132</v>
      </c>
      <c r="I335" t="s">
        <v>147</v>
      </c>
      <c r="J335" t="s">
        <v>28</v>
      </c>
      <c r="K335">
        <f>IF(AND(API_Cosevi[[#This Row],[Rol persona]]="Motociclista", OR(API_Cosevi[[#This Row],[Dia]]="Domingo", API_Cosevi[[#This Row],[Dia]]="Sabado")), 1, 0)</f>
        <v>0</v>
      </c>
      <c r="L335">
        <f>IF(AND(API_Cosevi[[#This Row],[Rol persona]]="Motociclista", OR(API_Cosevi[[#This Row],[Edad quinquenal]]="15 A 19", API_Cosevi[[#This Row],[Edad quinquenal]]="10 A 14")), 1, 0)</f>
        <v>0</v>
      </c>
    </row>
    <row r="336" spans="1:12" x14ac:dyDescent="0.3">
      <c r="A336" t="s">
        <v>8</v>
      </c>
      <c r="B336" t="s">
        <v>40</v>
      </c>
      <c r="C336" t="s">
        <v>122</v>
      </c>
      <c r="D336">
        <v>4</v>
      </c>
      <c r="E336" t="s">
        <v>11</v>
      </c>
      <c r="F336" t="s">
        <v>12</v>
      </c>
      <c r="G336">
        <v>50</v>
      </c>
      <c r="H336" t="s">
        <v>132</v>
      </c>
      <c r="I336" t="s">
        <v>147</v>
      </c>
      <c r="J336" t="s">
        <v>60</v>
      </c>
      <c r="K336">
        <f>IF(AND(API_Cosevi[[#This Row],[Rol persona]]="Motociclista", OR(API_Cosevi[[#This Row],[Dia]]="Domingo", API_Cosevi[[#This Row],[Dia]]="Sabado")), 1, 0)</f>
        <v>1</v>
      </c>
      <c r="L336">
        <f>IF(AND(API_Cosevi[[#This Row],[Rol persona]]="Motociclista", OR(API_Cosevi[[#This Row],[Edad quinquenal]]="15 A 19", API_Cosevi[[#This Row],[Edad quinquenal]]="10 A 14")), 1, 0)</f>
        <v>0</v>
      </c>
    </row>
    <row r="337" spans="1:12" x14ac:dyDescent="0.3">
      <c r="A337" t="s">
        <v>38</v>
      </c>
      <c r="B337" t="s">
        <v>34</v>
      </c>
      <c r="C337" t="s">
        <v>44</v>
      </c>
      <c r="D337">
        <v>2</v>
      </c>
      <c r="E337" t="s">
        <v>39</v>
      </c>
      <c r="F337" t="s">
        <v>12</v>
      </c>
      <c r="G337">
        <v>33</v>
      </c>
      <c r="H337" t="s">
        <v>132</v>
      </c>
      <c r="I337" t="s">
        <v>147</v>
      </c>
      <c r="J337" t="s">
        <v>21</v>
      </c>
      <c r="K337">
        <f>IF(AND(API_Cosevi[[#This Row],[Rol persona]]="Motociclista", OR(API_Cosevi[[#This Row],[Dia]]="Domingo", API_Cosevi[[#This Row],[Dia]]="Sabado")), 1, 0)</f>
        <v>0</v>
      </c>
      <c r="L337">
        <f>IF(AND(API_Cosevi[[#This Row],[Rol persona]]="Motociclista", OR(API_Cosevi[[#This Row],[Edad quinquenal]]="15 A 19", API_Cosevi[[#This Row],[Edad quinquenal]]="10 A 14")), 1, 0)</f>
        <v>0</v>
      </c>
    </row>
    <row r="338" spans="1:12" x14ac:dyDescent="0.3">
      <c r="A338" t="s">
        <v>38</v>
      </c>
      <c r="B338" t="s">
        <v>29</v>
      </c>
      <c r="C338" t="s">
        <v>48</v>
      </c>
      <c r="D338">
        <v>250</v>
      </c>
      <c r="E338" t="s">
        <v>39</v>
      </c>
      <c r="F338" t="s">
        <v>12</v>
      </c>
      <c r="G338">
        <v>42</v>
      </c>
      <c r="H338" t="s">
        <v>132</v>
      </c>
      <c r="I338" t="s">
        <v>147</v>
      </c>
      <c r="J338" t="s">
        <v>28</v>
      </c>
      <c r="K338">
        <f>IF(AND(API_Cosevi[[#This Row],[Rol persona]]="Motociclista", OR(API_Cosevi[[#This Row],[Dia]]="Domingo", API_Cosevi[[#This Row],[Dia]]="Sabado")), 1, 0)</f>
        <v>0</v>
      </c>
      <c r="L338">
        <f>IF(AND(API_Cosevi[[#This Row],[Rol persona]]="Motociclista", OR(API_Cosevi[[#This Row],[Edad quinquenal]]="15 A 19", API_Cosevi[[#This Row],[Edad quinquenal]]="10 A 14")), 1, 0)</f>
        <v>0</v>
      </c>
    </row>
    <row r="339" spans="1:12" x14ac:dyDescent="0.3">
      <c r="A339" t="s">
        <v>38</v>
      </c>
      <c r="B339" t="s">
        <v>64</v>
      </c>
      <c r="C339" t="s">
        <v>70</v>
      </c>
      <c r="D339" t="s">
        <v>24</v>
      </c>
      <c r="E339" t="s">
        <v>39</v>
      </c>
      <c r="F339" t="s">
        <v>12</v>
      </c>
      <c r="G339">
        <v>67</v>
      </c>
      <c r="H339" t="s">
        <v>132</v>
      </c>
      <c r="I339" t="s">
        <v>147</v>
      </c>
      <c r="J339" t="s">
        <v>27</v>
      </c>
      <c r="K339">
        <f>IF(AND(API_Cosevi[[#This Row],[Rol persona]]="Motociclista", OR(API_Cosevi[[#This Row],[Dia]]="Domingo", API_Cosevi[[#This Row],[Dia]]="Sabado")), 1, 0)</f>
        <v>0</v>
      </c>
      <c r="L339">
        <f>IF(AND(API_Cosevi[[#This Row],[Rol persona]]="Motociclista", OR(API_Cosevi[[#This Row],[Edad quinquenal]]="15 A 19", API_Cosevi[[#This Row],[Edad quinquenal]]="10 A 14")), 1, 0)</f>
        <v>0</v>
      </c>
    </row>
    <row r="340" spans="1:12" x14ac:dyDescent="0.3">
      <c r="A340" t="s">
        <v>22</v>
      </c>
      <c r="B340" t="s">
        <v>40</v>
      </c>
      <c r="C340" t="s">
        <v>86</v>
      </c>
      <c r="D340" t="s">
        <v>24</v>
      </c>
      <c r="E340" t="s">
        <v>39</v>
      </c>
      <c r="F340" t="s">
        <v>12</v>
      </c>
      <c r="G340">
        <v>25</v>
      </c>
      <c r="H340" t="s">
        <v>132</v>
      </c>
      <c r="I340" t="s">
        <v>147</v>
      </c>
      <c r="J340" t="s">
        <v>13</v>
      </c>
      <c r="K340">
        <f>IF(AND(API_Cosevi[[#This Row],[Rol persona]]="Motociclista", OR(API_Cosevi[[#This Row],[Dia]]="Domingo", API_Cosevi[[#This Row],[Dia]]="Sabado")), 1, 0)</f>
        <v>0</v>
      </c>
      <c r="L340">
        <f>IF(AND(API_Cosevi[[#This Row],[Rol persona]]="Motociclista", OR(API_Cosevi[[#This Row],[Edad quinquenal]]="15 A 19", API_Cosevi[[#This Row],[Edad quinquenal]]="10 A 14")), 1, 0)</f>
        <v>0</v>
      </c>
    </row>
    <row r="341" spans="1:12" x14ac:dyDescent="0.3">
      <c r="A341" t="s">
        <v>22</v>
      </c>
      <c r="B341" t="s">
        <v>14</v>
      </c>
      <c r="C341" t="s">
        <v>88</v>
      </c>
      <c r="D341">
        <v>238</v>
      </c>
      <c r="E341" t="s">
        <v>16</v>
      </c>
      <c r="F341" t="s">
        <v>12</v>
      </c>
      <c r="G341">
        <v>37</v>
      </c>
      <c r="H341" t="s">
        <v>138</v>
      </c>
      <c r="I341" t="s">
        <v>147</v>
      </c>
      <c r="J341" t="s">
        <v>32</v>
      </c>
      <c r="K341">
        <f>IF(AND(API_Cosevi[[#This Row],[Rol persona]]="Motociclista", OR(API_Cosevi[[#This Row],[Dia]]="Domingo", API_Cosevi[[#This Row],[Dia]]="Sabado")), 1, 0)</f>
        <v>0</v>
      </c>
      <c r="L341">
        <f>IF(AND(API_Cosevi[[#This Row],[Rol persona]]="Motociclista", OR(API_Cosevi[[#This Row],[Edad quinquenal]]="15 A 19", API_Cosevi[[#This Row],[Edad quinquenal]]="10 A 14")), 1, 0)</f>
        <v>0</v>
      </c>
    </row>
    <row r="342" spans="1:12" x14ac:dyDescent="0.3">
      <c r="A342" t="s">
        <v>8</v>
      </c>
      <c r="B342" t="s">
        <v>14</v>
      </c>
      <c r="C342" t="s">
        <v>67</v>
      </c>
      <c r="D342">
        <v>613</v>
      </c>
      <c r="E342" t="s">
        <v>11</v>
      </c>
      <c r="F342" t="s">
        <v>12</v>
      </c>
      <c r="G342">
        <v>40</v>
      </c>
      <c r="H342" t="s">
        <v>138</v>
      </c>
      <c r="I342" t="s">
        <v>147</v>
      </c>
      <c r="J342" t="s">
        <v>28</v>
      </c>
      <c r="K342">
        <f>IF(AND(API_Cosevi[[#This Row],[Rol persona]]="Motociclista", OR(API_Cosevi[[#This Row],[Dia]]="Domingo", API_Cosevi[[#This Row],[Dia]]="Sabado")), 1, 0)</f>
        <v>1</v>
      </c>
      <c r="L342">
        <f>IF(AND(API_Cosevi[[#This Row],[Rol persona]]="Motociclista", OR(API_Cosevi[[#This Row],[Edad quinquenal]]="15 A 19", API_Cosevi[[#This Row],[Edad quinquenal]]="10 A 14")), 1, 0)</f>
        <v>0</v>
      </c>
    </row>
    <row r="343" spans="1:12" x14ac:dyDescent="0.3">
      <c r="A343" t="s">
        <v>115</v>
      </c>
      <c r="B343" t="s">
        <v>34</v>
      </c>
      <c r="C343" t="s">
        <v>109</v>
      </c>
      <c r="D343">
        <v>102</v>
      </c>
      <c r="E343" t="s">
        <v>158</v>
      </c>
      <c r="F343" t="s">
        <v>35</v>
      </c>
      <c r="G343">
        <v>52</v>
      </c>
      <c r="H343" t="s">
        <v>138</v>
      </c>
      <c r="I343" t="s">
        <v>147</v>
      </c>
      <c r="J343" t="s">
        <v>60</v>
      </c>
      <c r="K343">
        <f>IF(AND(API_Cosevi[[#This Row],[Rol persona]]="Motociclista", OR(API_Cosevi[[#This Row],[Dia]]="Domingo", API_Cosevi[[#This Row],[Dia]]="Sabado")), 1, 0)</f>
        <v>0</v>
      </c>
      <c r="L343">
        <f>IF(AND(API_Cosevi[[#This Row],[Rol persona]]="Motociclista", OR(API_Cosevi[[#This Row],[Edad quinquenal]]="15 A 19", API_Cosevi[[#This Row],[Edad quinquenal]]="10 A 14")), 1, 0)</f>
        <v>0</v>
      </c>
    </row>
    <row r="344" spans="1:12" x14ac:dyDescent="0.3">
      <c r="A344" t="s">
        <v>46</v>
      </c>
      <c r="B344" t="s">
        <v>29</v>
      </c>
      <c r="C344" t="s">
        <v>103</v>
      </c>
      <c r="D344">
        <v>4</v>
      </c>
      <c r="E344" t="s">
        <v>25</v>
      </c>
      <c r="F344" t="s">
        <v>12</v>
      </c>
      <c r="G344">
        <v>63</v>
      </c>
      <c r="H344" t="s">
        <v>138</v>
      </c>
      <c r="I344" t="s">
        <v>147</v>
      </c>
      <c r="J344" t="s">
        <v>49</v>
      </c>
      <c r="K344">
        <f>IF(AND(API_Cosevi[[#This Row],[Rol persona]]="Motociclista", OR(API_Cosevi[[#This Row],[Dia]]="Domingo", API_Cosevi[[#This Row],[Dia]]="Sabado")), 1, 0)</f>
        <v>0</v>
      </c>
      <c r="L344">
        <f>IF(AND(API_Cosevi[[#This Row],[Rol persona]]="Motociclista", OR(API_Cosevi[[#This Row],[Edad quinquenal]]="15 A 19", API_Cosevi[[#This Row],[Edad quinquenal]]="10 A 14")), 1, 0)</f>
        <v>0</v>
      </c>
    </row>
    <row r="345" spans="1:12" x14ac:dyDescent="0.3">
      <c r="A345" t="s">
        <v>115</v>
      </c>
      <c r="B345" t="s">
        <v>40</v>
      </c>
      <c r="C345" t="s">
        <v>123</v>
      </c>
      <c r="D345">
        <v>1</v>
      </c>
      <c r="E345" t="s">
        <v>158</v>
      </c>
      <c r="F345" t="s">
        <v>12</v>
      </c>
      <c r="G345">
        <v>48</v>
      </c>
      <c r="H345" t="s">
        <v>137</v>
      </c>
      <c r="I345" t="s">
        <v>147</v>
      </c>
      <c r="J345" t="s">
        <v>19</v>
      </c>
      <c r="K345">
        <f>IF(AND(API_Cosevi[[#This Row],[Rol persona]]="Motociclista", OR(API_Cosevi[[#This Row],[Dia]]="Domingo", API_Cosevi[[#This Row],[Dia]]="Sabado")), 1, 0)</f>
        <v>0</v>
      </c>
      <c r="L345">
        <f>IF(AND(API_Cosevi[[#This Row],[Rol persona]]="Motociclista", OR(API_Cosevi[[#This Row],[Edad quinquenal]]="15 A 19", API_Cosevi[[#This Row],[Edad quinquenal]]="10 A 14")), 1, 0)</f>
        <v>0</v>
      </c>
    </row>
    <row r="346" spans="1:12" x14ac:dyDescent="0.3">
      <c r="A346" t="s">
        <v>115</v>
      </c>
      <c r="B346" t="s">
        <v>34</v>
      </c>
      <c r="C346" t="s">
        <v>84</v>
      </c>
      <c r="D346">
        <v>2</v>
      </c>
      <c r="E346" t="s">
        <v>158</v>
      </c>
      <c r="F346" t="s">
        <v>35</v>
      </c>
      <c r="G346">
        <v>78</v>
      </c>
      <c r="H346" t="s">
        <v>135</v>
      </c>
      <c r="I346" t="s">
        <v>147</v>
      </c>
      <c r="J346" t="s">
        <v>42</v>
      </c>
      <c r="K346">
        <f>IF(AND(API_Cosevi[[#This Row],[Rol persona]]="Motociclista", OR(API_Cosevi[[#This Row],[Dia]]="Domingo", API_Cosevi[[#This Row],[Dia]]="Sabado")), 1, 0)</f>
        <v>0</v>
      </c>
      <c r="L346">
        <f>IF(AND(API_Cosevi[[#This Row],[Rol persona]]="Motociclista", OR(API_Cosevi[[#This Row],[Edad quinquenal]]="15 A 19", API_Cosevi[[#This Row],[Edad quinquenal]]="10 A 14")), 1, 0)</f>
        <v>0</v>
      </c>
    </row>
    <row r="347" spans="1:12" x14ac:dyDescent="0.3">
      <c r="A347" t="s">
        <v>8</v>
      </c>
      <c r="B347" t="s">
        <v>9</v>
      </c>
      <c r="C347" t="s">
        <v>20</v>
      </c>
      <c r="D347" t="s">
        <v>24</v>
      </c>
      <c r="E347" t="s">
        <v>62</v>
      </c>
      <c r="F347" t="s">
        <v>12</v>
      </c>
      <c r="G347">
        <v>45</v>
      </c>
      <c r="H347" t="s">
        <v>134</v>
      </c>
      <c r="I347" t="s">
        <v>147</v>
      </c>
      <c r="J347" t="s">
        <v>19</v>
      </c>
      <c r="K347">
        <f>IF(AND(API_Cosevi[[#This Row],[Rol persona]]="Motociclista", OR(API_Cosevi[[#This Row],[Dia]]="Domingo", API_Cosevi[[#This Row],[Dia]]="Sabado")), 1, 0)</f>
        <v>0</v>
      </c>
      <c r="L347">
        <f>IF(AND(API_Cosevi[[#This Row],[Rol persona]]="Motociclista", OR(API_Cosevi[[#This Row],[Edad quinquenal]]="15 A 19", API_Cosevi[[#This Row],[Edad quinquenal]]="10 A 14")), 1, 0)</f>
        <v>0</v>
      </c>
    </row>
    <row r="348" spans="1:12" x14ac:dyDescent="0.3">
      <c r="A348" t="s">
        <v>115</v>
      </c>
      <c r="B348" t="s">
        <v>29</v>
      </c>
      <c r="C348" t="s">
        <v>105</v>
      </c>
      <c r="D348" t="s">
        <v>24</v>
      </c>
      <c r="E348" t="s">
        <v>158</v>
      </c>
      <c r="F348" t="s">
        <v>12</v>
      </c>
      <c r="G348">
        <v>64</v>
      </c>
      <c r="H348" t="s">
        <v>133</v>
      </c>
      <c r="I348" t="s">
        <v>147</v>
      </c>
      <c r="J348" t="s">
        <v>49</v>
      </c>
      <c r="K348">
        <f>IF(AND(API_Cosevi[[#This Row],[Rol persona]]="Motociclista", OR(API_Cosevi[[#This Row],[Dia]]="Domingo", API_Cosevi[[#This Row],[Dia]]="Sabado")), 1, 0)</f>
        <v>0</v>
      </c>
      <c r="L348">
        <f>IF(AND(API_Cosevi[[#This Row],[Rol persona]]="Motociclista", OR(API_Cosevi[[#This Row],[Edad quinquenal]]="15 A 19", API_Cosevi[[#This Row],[Edad quinquenal]]="10 A 14")), 1, 0)</f>
        <v>0</v>
      </c>
    </row>
    <row r="349" spans="1:12" x14ac:dyDescent="0.3">
      <c r="A349" t="s">
        <v>8</v>
      </c>
      <c r="B349" t="s">
        <v>29</v>
      </c>
      <c r="C349" t="s">
        <v>30</v>
      </c>
      <c r="D349">
        <v>27</v>
      </c>
      <c r="E349" t="s">
        <v>62</v>
      </c>
      <c r="F349" t="s">
        <v>35</v>
      </c>
      <c r="G349">
        <v>34</v>
      </c>
      <c r="H349" t="s">
        <v>132</v>
      </c>
      <c r="I349" t="s">
        <v>147</v>
      </c>
      <c r="J349" t="s">
        <v>21</v>
      </c>
      <c r="K349">
        <f>IF(AND(API_Cosevi[[#This Row],[Rol persona]]="Motociclista", OR(API_Cosevi[[#This Row],[Dia]]="Domingo", API_Cosevi[[#This Row],[Dia]]="Sabado")), 1, 0)</f>
        <v>0</v>
      </c>
      <c r="L349">
        <f>IF(AND(API_Cosevi[[#This Row],[Rol persona]]="Motociclista", OR(API_Cosevi[[#This Row],[Edad quinquenal]]="15 A 19", API_Cosevi[[#This Row],[Edad quinquenal]]="10 A 14")), 1, 0)</f>
        <v>0</v>
      </c>
    </row>
    <row r="350" spans="1:12" x14ac:dyDescent="0.3">
      <c r="A350" t="s">
        <v>38</v>
      </c>
      <c r="B350" t="s">
        <v>64</v>
      </c>
      <c r="C350" t="s">
        <v>101</v>
      </c>
      <c r="D350">
        <v>806</v>
      </c>
      <c r="E350" t="s">
        <v>11</v>
      </c>
      <c r="F350" t="s">
        <v>35</v>
      </c>
      <c r="G350">
        <v>24</v>
      </c>
      <c r="H350" t="s">
        <v>132</v>
      </c>
      <c r="I350" t="s">
        <v>147</v>
      </c>
      <c r="J350" t="s">
        <v>17</v>
      </c>
      <c r="K350">
        <f>IF(AND(API_Cosevi[[#This Row],[Rol persona]]="Motociclista", OR(API_Cosevi[[#This Row],[Dia]]="Domingo", API_Cosevi[[#This Row],[Dia]]="Sabado")), 1, 0)</f>
        <v>1</v>
      </c>
      <c r="L350">
        <f>IF(AND(API_Cosevi[[#This Row],[Rol persona]]="Motociclista", OR(API_Cosevi[[#This Row],[Edad quinquenal]]="15 A 19", API_Cosevi[[#This Row],[Edad quinquenal]]="10 A 14")), 1, 0)</f>
        <v>0</v>
      </c>
    </row>
    <row r="351" spans="1:12" x14ac:dyDescent="0.3">
      <c r="A351" t="s">
        <v>115</v>
      </c>
      <c r="B351" t="s">
        <v>14</v>
      </c>
      <c r="C351" t="s">
        <v>14</v>
      </c>
      <c r="D351">
        <v>17</v>
      </c>
      <c r="E351" t="s">
        <v>158</v>
      </c>
      <c r="F351" t="s">
        <v>12</v>
      </c>
      <c r="G351">
        <v>20</v>
      </c>
      <c r="H351" t="s">
        <v>138</v>
      </c>
      <c r="I351" t="s">
        <v>147</v>
      </c>
      <c r="J351" t="s">
        <v>17</v>
      </c>
      <c r="K351">
        <f>IF(AND(API_Cosevi[[#This Row],[Rol persona]]="Motociclista", OR(API_Cosevi[[#This Row],[Dia]]="Domingo", API_Cosevi[[#This Row],[Dia]]="Sabado")), 1, 0)</f>
        <v>0</v>
      </c>
      <c r="L351">
        <f>IF(AND(API_Cosevi[[#This Row],[Rol persona]]="Motociclista", OR(API_Cosevi[[#This Row],[Edad quinquenal]]="15 A 19", API_Cosevi[[#This Row],[Edad quinquenal]]="10 A 14")), 1, 0)</f>
        <v>0</v>
      </c>
    </row>
    <row r="352" spans="1:12" x14ac:dyDescent="0.3">
      <c r="A352" t="s">
        <v>8</v>
      </c>
      <c r="B352" t="s">
        <v>64</v>
      </c>
      <c r="C352" t="s">
        <v>70</v>
      </c>
      <c r="D352">
        <v>247</v>
      </c>
      <c r="E352" t="s">
        <v>11</v>
      </c>
      <c r="F352" t="s">
        <v>12</v>
      </c>
      <c r="G352">
        <v>18</v>
      </c>
      <c r="H352" t="s">
        <v>138</v>
      </c>
      <c r="I352" t="s">
        <v>147</v>
      </c>
      <c r="J352" t="s">
        <v>31</v>
      </c>
      <c r="K352">
        <f>IF(AND(API_Cosevi[[#This Row],[Rol persona]]="Motociclista", OR(API_Cosevi[[#This Row],[Dia]]="Domingo", API_Cosevi[[#This Row],[Dia]]="Sabado")), 1, 0)</f>
        <v>1</v>
      </c>
      <c r="L352">
        <f>IF(AND(API_Cosevi[[#This Row],[Rol persona]]="Motociclista", OR(API_Cosevi[[#This Row],[Edad quinquenal]]="15 A 19", API_Cosevi[[#This Row],[Edad quinquenal]]="10 A 14")), 1, 0)</f>
        <v>1</v>
      </c>
    </row>
    <row r="353" spans="1:12" x14ac:dyDescent="0.3">
      <c r="A353" t="s">
        <v>8</v>
      </c>
      <c r="B353" t="s">
        <v>64</v>
      </c>
      <c r="C353" t="s">
        <v>70</v>
      </c>
      <c r="D353" t="s">
        <v>24</v>
      </c>
      <c r="E353" t="s">
        <v>11</v>
      </c>
      <c r="F353" t="s">
        <v>12</v>
      </c>
      <c r="G353">
        <v>26</v>
      </c>
      <c r="H353" t="s">
        <v>138</v>
      </c>
      <c r="I353" t="s">
        <v>147</v>
      </c>
      <c r="J353" t="s">
        <v>13</v>
      </c>
      <c r="K353">
        <f>IF(AND(API_Cosevi[[#This Row],[Rol persona]]="Motociclista", OR(API_Cosevi[[#This Row],[Dia]]="Domingo", API_Cosevi[[#This Row],[Dia]]="Sabado")), 1, 0)</f>
        <v>1</v>
      </c>
      <c r="L353">
        <f>IF(AND(API_Cosevi[[#This Row],[Rol persona]]="Motociclista", OR(API_Cosevi[[#This Row],[Edad quinquenal]]="15 A 19", API_Cosevi[[#This Row],[Edad quinquenal]]="10 A 14")), 1, 0)</f>
        <v>0</v>
      </c>
    </row>
    <row r="354" spans="1:12" x14ac:dyDescent="0.3">
      <c r="A354" t="s">
        <v>8</v>
      </c>
      <c r="B354" t="s">
        <v>64</v>
      </c>
      <c r="C354" t="s">
        <v>70</v>
      </c>
      <c r="D354" t="s">
        <v>24</v>
      </c>
      <c r="E354" t="s">
        <v>11</v>
      </c>
      <c r="F354" t="s">
        <v>12</v>
      </c>
      <c r="G354">
        <v>21</v>
      </c>
      <c r="H354" t="s">
        <v>138</v>
      </c>
      <c r="I354" t="s">
        <v>147</v>
      </c>
      <c r="J354" t="s">
        <v>17</v>
      </c>
      <c r="K354">
        <f>IF(AND(API_Cosevi[[#This Row],[Rol persona]]="Motociclista", OR(API_Cosevi[[#This Row],[Dia]]="Domingo", API_Cosevi[[#This Row],[Dia]]="Sabado")), 1, 0)</f>
        <v>1</v>
      </c>
      <c r="L354">
        <f>IF(AND(API_Cosevi[[#This Row],[Rol persona]]="Motociclista", OR(API_Cosevi[[#This Row],[Edad quinquenal]]="15 A 19", API_Cosevi[[#This Row],[Edad quinquenal]]="10 A 14")), 1, 0)</f>
        <v>0</v>
      </c>
    </row>
    <row r="355" spans="1:12" x14ac:dyDescent="0.3">
      <c r="A355" t="s">
        <v>8</v>
      </c>
      <c r="B355" t="s">
        <v>9</v>
      </c>
      <c r="C355" t="s">
        <v>10</v>
      </c>
      <c r="D355">
        <v>152</v>
      </c>
      <c r="E355" t="s">
        <v>11</v>
      </c>
      <c r="F355" t="s">
        <v>12</v>
      </c>
      <c r="G355">
        <v>27</v>
      </c>
      <c r="H355" t="s">
        <v>136</v>
      </c>
      <c r="I355" t="s">
        <v>148</v>
      </c>
      <c r="J355" t="s">
        <v>13</v>
      </c>
      <c r="K355">
        <f>IF(AND(API_Cosevi[[#This Row],[Rol persona]]="Motociclista", OR(API_Cosevi[[#This Row],[Dia]]="Domingo", API_Cosevi[[#This Row],[Dia]]="Sabado")), 1, 0)</f>
        <v>0</v>
      </c>
      <c r="L355">
        <f>IF(AND(API_Cosevi[[#This Row],[Rol persona]]="Motociclista", OR(API_Cosevi[[#This Row],[Edad quinquenal]]="15 A 19", API_Cosevi[[#This Row],[Edad quinquenal]]="10 A 14")), 1, 0)</f>
        <v>0</v>
      </c>
    </row>
    <row r="356" spans="1:12" x14ac:dyDescent="0.3">
      <c r="A356" t="s">
        <v>8</v>
      </c>
      <c r="B356" t="s">
        <v>34</v>
      </c>
      <c r="C356" t="s">
        <v>34</v>
      </c>
      <c r="D356" t="s">
        <v>24</v>
      </c>
      <c r="E356" t="s">
        <v>11</v>
      </c>
      <c r="F356" t="s">
        <v>12</v>
      </c>
      <c r="G356">
        <v>40</v>
      </c>
      <c r="H356" t="s">
        <v>135</v>
      </c>
      <c r="I356" t="s">
        <v>148</v>
      </c>
      <c r="J356" t="s">
        <v>28</v>
      </c>
      <c r="K356">
        <f>IF(AND(API_Cosevi[[#This Row],[Rol persona]]="Motociclista", OR(API_Cosevi[[#This Row],[Dia]]="Domingo", API_Cosevi[[#This Row],[Dia]]="Sabado")), 1, 0)</f>
        <v>0</v>
      </c>
      <c r="L356">
        <f>IF(AND(API_Cosevi[[#This Row],[Rol persona]]="Motociclista", OR(API_Cosevi[[#This Row],[Edad quinquenal]]="15 A 19", API_Cosevi[[#This Row],[Edad quinquenal]]="10 A 14")), 1, 0)</f>
        <v>0</v>
      </c>
    </row>
    <row r="357" spans="1:12" x14ac:dyDescent="0.3">
      <c r="A357" t="s">
        <v>22</v>
      </c>
      <c r="B357" t="s">
        <v>14</v>
      </c>
      <c r="C357" t="s">
        <v>45</v>
      </c>
      <c r="D357">
        <v>2</v>
      </c>
      <c r="E357" t="s">
        <v>25</v>
      </c>
      <c r="F357" t="s">
        <v>12</v>
      </c>
      <c r="G357">
        <v>31</v>
      </c>
      <c r="H357" t="s">
        <v>134</v>
      </c>
      <c r="I357" t="s">
        <v>148</v>
      </c>
      <c r="J357" t="s">
        <v>21</v>
      </c>
      <c r="K357">
        <f>IF(AND(API_Cosevi[[#This Row],[Rol persona]]="Motociclista", OR(API_Cosevi[[#This Row],[Dia]]="Domingo", API_Cosevi[[#This Row],[Dia]]="Sabado")), 1, 0)</f>
        <v>0</v>
      </c>
      <c r="L357">
        <f>IF(AND(API_Cosevi[[#This Row],[Rol persona]]="Motociclista", OR(API_Cosevi[[#This Row],[Edad quinquenal]]="15 A 19", API_Cosevi[[#This Row],[Edad quinquenal]]="10 A 14")), 1, 0)</f>
        <v>0</v>
      </c>
    </row>
    <row r="358" spans="1:12" x14ac:dyDescent="0.3">
      <c r="A358" t="s">
        <v>33</v>
      </c>
      <c r="B358" t="s">
        <v>29</v>
      </c>
      <c r="C358" t="s">
        <v>29</v>
      </c>
      <c r="D358" t="s">
        <v>24</v>
      </c>
      <c r="E358" t="s">
        <v>158</v>
      </c>
      <c r="F358" t="s">
        <v>12</v>
      </c>
      <c r="G358">
        <v>44</v>
      </c>
      <c r="H358" t="s">
        <v>134</v>
      </c>
      <c r="I358" t="s">
        <v>148</v>
      </c>
      <c r="J358" t="s">
        <v>28</v>
      </c>
      <c r="K358">
        <f>IF(AND(API_Cosevi[[#This Row],[Rol persona]]="Motociclista", OR(API_Cosevi[[#This Row],[Dia]]="Domingo", API_Cosevi[[#This Row],[Dia]]="Sabado")), 1, 0)</f>
        <v>0</v>
      </c>
      <c r="L358">
        <f>IF(AND(API_Cosevi[[#This Row],[Rol persona]]="Motociclista", OR(API_Cosevi[[#This Row],[Edad quinquenal]]="15 A 19", API_Cosevi[[#This Row],[Edad quinquenal]]="10 A 14")), 1, 0)</f>
        <v>0</v>
      </c>
    </row>
    <row r="359" spans="1:12" x14ac:dyDescent="0.3">
      <c r="A359" t="s">
        <v>8</v>
      </c>
      <c r="B359" t="s">
        <v>14</v>
      </c>
      <c r="C359" t="s">
        <v>90</v>
      </c>
      <c r="D359">
        <v>1</v>
      </c>
      <c r="E359" t="s">
        <v>62</v>
      </c>
      <c r="F359" t="s">
        <v>12</v>
      </c>
      <c r="G359">
        <v>27</v>
      </c>
      <c r="H359" t="s">
        <v>134</v>
      </c>
      <c r="I359" t="s">
        <v>148</v>
      </c>
      <c r="J359" t="s">
        <v>13</v>
      </c>
      <c r="K359">
        <f>IF(AND(API_Cosevi[[#This Row],[Rol persona]]="Motociclista", OR(API_Cosevi[[#This Row],[Dia]]="Domingo", API_Cosevi[[#This Row],[Dia]]="Sabado")), 1, 0)</f>
        <v>0</v>
      </c>
      <c r="L359">
        <f>IF(AND(API_Cosevi[[#This Row],[Rol persona]]="Motociclista", OR(API_Cosevi[[#This Row],[Edad quinquenal]]="15 A 19", API_Cosevi[[#This Row],[Edad quinquenal]]="10 A 14")), 1, 0)</f>
        <v>0</v>
      </c>
    </row>
    <row r="360" spans="1:12" x14ac:dyDescent="0.3">
      <c r="A360" t="s">
        <v>33</v>
      </c>
      <c r="B360" t="s">
        <v>64</v>
      </c>
      <c r="C360" t="s">
        <v>101</v>
      </c>
      <c r="D360" t="s">
        <v>24</v>
      </c>
      <c r="E360" t="s">
        <v>158</v>
      </c>
      <c r="F360" t="s">
        <v>12</v>
      </c>
      <c r="G360">
        <v>21</v>
      </c>
      <c r="H360" t="s">
        <v>133</v>
      </c>
      <c r="I360" t="s">
        <v>148</v>
      </c>
      <c r="J360" t="s">
        <v>17</v>
      </c>
      <c r="K360">
        <f>IF(AND(API_Cosevi[[#This Row],[Rol persona]]="Motociclista", OR(API_Cosevi[[#This Row],[Dia]]="Domingo", API_Cosevi[[#This Row],[Dia]]="Sabado")), 1, 0)</f>
        <v>0</v>
      </c>
      <c r="L360">
        <f>IF(AND(API_Cosevi[[#This Row],[Rol persona]]="Motociclista", OR(API_Cosevi[[#This Row],[Edad quinquenal]]="15 A 19", API_Cosevi[[#This Row],[Edad quinquenal]]="10 A 14")), 1, 0)</f>
        <v>0</v>
      </c>
    </row>
    <row r="361" spans="1:12" x14ac:dyDescent="0.3">
      <c r="A361" t="s">
        <v>8</v>
      </c>
      <c r="B361" t="s">
        <v>29</v>
      </c>
      <c r="C361" t="s">
        <v>29</v>
      </c>
      <c r="D361">
        <v>27</v>
      </c>
      <c r="E361" t="s">
        <v>25</v>
      </c>
      <c r="F361" t="s">
        <v>12</v>
      </c>
      <c r="G361">
        <v>40</v>
      </c>
      <c r="H361" t="s">
        <v>133</v>
      </c>
      <c r="I361" t="s">
        <v>148</v>
      </c>
      <c r="J361" t="s">
        <v>28</v>
      </c>
      <c r="K361">
        <f>IF(AND(API_Cosevi[[#This Row],[Rol persona]]="Motociclista", OR(API_Cosevi[[#This Row],[Dia]]="Domingo", API_Cosevi[[#This Row],[Dia]]="Sabado")), 1, 0)</f>
        <v>0</v>
      </c>
      <c r="L361">
        <f>IF(AND(API_Cosevi[[#This Row],[Rol persona]]="Motociclista", OR(API_Cosevi[[#This Row],[Edad quinquenal]]="15 A 19", API_Cosevi[[#This Row],[Edad quinquenal]]="10 A 14")), 1, 0)</f>
        <v>0</v>
      </c>
    </row>
    <row r="362" spans="1:12" x14ac:dyDescent="0.3">
      <c r="A362" t="s">
        <v>8</v>
      </c>
      <c r="B362" t="s">
        <v>29</v>
      </c>
      <c r="C362" t="s">
        <v>57</v>
      </c>
      <c r="D362">
        <v>35</v>
      </c>
      <c r="E362" t="s">
        <v>11</v>
      </c>
      <c r="F362" t="s">
        <v>12</v>
      </c>
      <c r="G362">
        <v>48</v>
      </c>
      <c r="H362" t="s">
        <v>132</v>
      </c>
      <c r="I362" t="s">
        <v>148</v>
      </c>
      <c r="J362" t="s">
        <v>19</v>
      </c>
      <c r="K362">
        <f>IF(AND(API_Cosevi[[#This Row],[Rol persona]]="Motociclista", OR(API_Cosevi[[#This Row],[Dia]]="Domingo", API_Cosevi[[#This Row],[Dia]]="Sabado")), 1, 0)</f>
        <v>1</v>
      </c>
      <c r="L362">
        <f>IF(AND(API_Cosevi[[#This Row],[Rol persona]]="Motociclista", OR(API_Cosevi[[#This Row],[Edad quinquenal]]="15 A 19", API_Cosevi[[#This Row],[Edad quinquenal]]="10 A 14")), 1, 0)</f>
        <v>0</v>
      </c>
    </row>
    <row r="363" spans="1:12" x14ac:dyDescent="0.3">
      <c r="A363" t="s">
        <v>8</v>
      </c>
      <c r="B363" t="s">
        <v>29</v>
      </c>
      <c r="C363" t="s">
        <v>57</v>
      </c>
      <c r="D363">
        <v>35</v>
      </c>
      <c r="E363" t="s">
        <v>11</v>
      </c>
      <c r="F363" t="s">
        <v>12</v>
      </c>
      <c r="G363">
        <v>20</v>
      </c>
      <c r="H363" t="s">
        <v>132</v>
      </c>
      <c r="I363" t="s">
        <v>148</v>
      </c>
      <c r="J363" t="s">
        <v>17</v>
      </c>
      <c r="K363">
        <f>IF(AND(API_Cosevi[[#This Row],[Rol persona]]="Motociclista", OR(API_Cosevi[[#This Row],[Dia]]="Domingo", API_Cosevi[[#This Row],[Dia]]="Sabado")), 1, 0)</f>
        <v>1</v>
      </c>
      <c r="L363">
        <f>IF(AND(API_Cosevi[[#This Row],[Rol persona]]="Motociclista", OR(API_Cosevi[[#This Row],[Edad quinquenal]]="15 A 19", API_Cosevi[[#This Row],[Edad quinquenal]]="10 A 14")), 1, 0)</f>
        <v>0</v>
      </c>
    </row>
    <row r="364" spans="1:12" x14ac:dyDescent="0.3">
      <c r="A364" t="s">
        <v>8</v>
      </c>
      <c r="B364" t="s">
        <v>34</v>
      </c>
      <c r="C364" t="s">
        <v>34</v>
      </c>
      <c r="D364" t="s">
        <v>24</v>
      </c>
      <c r="E364" t="s">
        <v>11</v>
      </c>
      <c r="F364" t="s">
        <v>12</v>
      </c>
      <c r="G364">
        <v>24</v>
      </c>
      <c r="H364" t="s">
        <v>137</v>
      </c>
      <c r="I364" t="s">
        <v>148</v>
      </c>
      <c r="J364" t="s">
        <v>17</v>
      </c>
      <c r="K364">
        <f>IF(AND(API_Cosevi[[#This Row],[Rol persona]]="Motociclista", OR(API_Cosevi[[#This Row],[Dia]]="Domingo", API_Cosevi[[#This Row],[Dia]]="Sabado")), 1, 0)</f>
        <v>0</v>
      </c>
      <c r="L364">
        <f>IF(AND(API_Cosevi[[#This Row],[Rol persona]]="Motociclista", OR(API_Cosevi[[#This Row],[Edad quinquenal]]="15 A 19", API_Cosevi[[#This Row],[Edad quinquenal]]="10 A 14")), 1, 0)</f>
        <v>0</v>
      </c>
    </row>
    <row r="365" spans="1:12" x14ac:dyDescent="0.3">
      <c r="A365" t="s">
        <v>22</v>
      </c>
      <c r="B365" t="s">
        <v>29</v>
      </c>
      <c r="C365" t="s">
        <v>92</v>
      </c>
      <c r="D365">
        <v>141</v>
      </c>
      <c r="E365" t="s">
        <v>25</v>
      </c>
      <c r="F365" t="s">
        <v>35</v>
      </c>
      <c r="G365">
        <v>54</v>
      </c>
      <c r="H365" t="s">
        <v>136</v>
      </c>
      <c r="I365" t="s">
        <v>148</v>
      </c>
      <c r="J365" t="s">
        <v>60</v>
      </c>
      <c r="K365">
        <f>IF(AND(API_Cosevi[[#This Row],[Rol persona]]="Motociclista", OR(API_Cosevi[[#This Row],[Dia]]="Domingo", API_Cosevi[[#This Row],[Dia]]="Sabado")), 1, 0)</f>
        <v>0</v>
      </c>
      <c r="L365">
        <f>IF(AND(API_Cosevi[[#This Row],[Rol persona]]="Motociclista", OR(API_Cosevi[[#This Row],[Edad quinquenal]]="15 A 19", API_Cosevi[[#This Row],[Edad quinquenal]]="10 A 14")), 1, 0)</f>
        <v>0</v>
      </c>
    </row>
    <row r="366" spans="1:12" x14ac:dyDescent="0.3">
      <c r="A366" t="s">
        <v>91</v>
      </c>
      <c r="B366" t="s">
        <v>34</v>
      </c>
      <c r="C366" t="s">
        <v>34</v>
      </c>
      <c r="D366" t="s">
        <v>24</v>
      </c>
      <c r="E366" t="s">
        <v>25</v>
      </c>
      <c r="F366" t="s">
        <v>12</v>
      </c>
      <c r="G366">
        <v>19</v>
      </c>
      <c r="H366" t="s">
        <v>136</v>
      </c>
      <c r="I366" t="s">
        <v>148</v>
      </c>
      <c r="J366" t="s">
        <v>31</v>
      </c>
      <c r="K366">
        <f>IF(AND(API_Cosevi[[#This Row],[Rol persona]]="Motociclista", OR(API_Cosevi[[#This Row],[Dia]]="Domingo", API_Cosevi[[#This Row],[Dia]]="Sabado")), 1, 0)</f>
        <v>0</v>
      </c>
      <c r="L366">
        <f>IF(AND(API_Cosevi[[#This Row],[Rol persona]]="Motociclista", OR(API_Cosevi[[#This Row],[Edad quinquenal]]="15 A 19", API_Cosevi[[#This Row],[Edad quinquenal]]="10 A 14")), 1, 0)</f>
        <v>0</v>
      </c>
    </row>
    <row r="367" spans="1:12" x14ac:dyDescent="0.3">
      <c r="A367" t="s">
        <v>33</v>
      </c>
      <c r="B367" t="s">
        <v>14</v>
      </c>
      <c r="C367" t="s">
        <v>61</v>
      </c>
      <c r="D367" t="s">
        <v>24</v>
      </c>
      <c r="E367" t="s">
        <v>158</v>
      </c>
      <c r="F367" t="s">
        <v>12</v>
      </c>
      <c r="G367">
        <v>52</v>
      </c>
      <c r="H367" t="s">
        <v>135</v>
      </c>
      <c r="I367" t="s">
        <v>148</v>
      </c>
      <c r="J367" t="s">
        <v>60</v>
      </c>
      <c r="K367">
        <f>IF(AND(API_Cosevi[[#This Row],[Rol persona]]="Motociclista", OR(API_Cosevi[[#This Row],[Dia]]="Domingo", API_Cosevi[[#This Row],[Dia]]="Sabado")), 1, 0)</f>
        <v>0</v>
      </c>
      <c r="L367">
        <f>IF(AND(API_Cosevi[[#This Row],[Rol persona]]="Motociclista", OR(API_Cosevi[[#This Row],[Edad quinquenal]]="15 A 19", API_Cosevi[[#This Row],[Edad quinquenal]]="10 A 14")), 1, 0)</f>
        <v>0</v>
      </c>
    </row>
    <row r="368" spans="1:12" x14ac:dyDescent="0.3">
      <c r="A368" t="s">
        <v>33</v>
      </c>
      <c r="B368" t="s">
        <v>14</v>
      </c>
      <c r="C368" t="s">
        <v>71</v>
      </c>
      <c r="D368">
        <v>27</v>
      </c>
      <c r="E368" t="s">
        <v>158</v>
      </c>
      <c r="F368" t="s">
        <v>12</v>
      </c>
      <c r="G368">
        <v>40</v>
      </c>
      <c r="H368" t="s">
        <v>135</v>
      </c>
      <c r="I368" t="s">
        <v>148</v>
      </c>
      <c r="J368" t="s">
        <v>28</v>
      </c>
      <c r="K368">
        <f>IF(AND(API_Cosevi[[#This Row],[Rol persona]]="Motociclista", OR(API_Cosevi[[#This Row],[Dia]]="Domingo", API_Cosevi[[#This Row],[Dia]]="Sabado")), 1, 0)</f>
        <v>0</v>
      </c>
      <c r="L368">
        <f>IF(AND(API_Cosevi[[#This Row],[Rol persona]]="Motociclista", OR(API_Cosevi[[#This Row],[Edad quinquenal]]="15 A 19", API_Cosevi[[#This Row],[Edad quinquenal]]="10 A 14")), 1, 0)</f>
        <v>0</v>
      </c>
    </row>
    <row r="369" spans="1:12" x14ac:dyDescent="0.3">
      <c r="A369" t="s">
        <v>8</v>
      </c>
      <c r="B369" t="s">
        <v>29</v>
      </c>
      <c r="C369" t="s">
        <v>47</v>
      </c>
      <c r="D369">
        <v>135</v>
      </c>
      <c r="E369" t="s">
        <v>11</v>
      </c>
      <c r="F369" t="s">
        <v>12</v>
      </c>
      <c r="G369">
        <v>20</v>
      </c>
      <c r="H369" t="s">
        <v>133</v>
      </c>
      <c r="I369" t="s">
        <v>148</v>
      </c>
      <c r="J369" t="s">
        <v>17</v>
      </c>
      <c r="K369">
        <f>IF(AND(API_Cosevi[[#This Row],[Rol persona]]="Motociclista", OR(API_Cosevi[[#This Row],[Dia]]="Domingo", API_Cosevi[[#This Row],[Dia]]="Sabado")), 1, 0)</f>
        <v>0</v>
      </c>
      <c r="L369">
        <f>IF(AND(API_Cosevi[[#This Row],[Rol persona]]="Motociclista", OR(API_Cosevi[[#This Row],[Edad quinquenal]]="15 A 19", API_Cosevi[[#This Row],[Edad quinquenal]]="10 A 14")), 1, 0)</f>
        <v>0</v>
      </c>
    </row>
    <row r="370" spans="1:12" x14ac:dyDescent="0.3">
      <c r="A370" t="s">
        <v>8</v>
      </c>
      <c r="B370" t="s">
        <v>14</v>
      </c>
      <c r="C370" t="s">
        <v>41</v>
      </c>
      <c r="D370">
        <v>34</v>
      </c>
      <c r="E370" t="s">
        <v>11</v>
      </c>
      <c r="F370" t="s">
        <v>12</v>
      </c>
      <c r="G370">
        <v>57</v>
      </c>
      <c r="H370" t="s">
        <v>133</v>
      </c>
      <c r="I370" t="s">
        <v>148</v>
      </c>
      <c r="J370" t="s">
        <v>36</v>
      </c>
      <c r="K370">
        <f>IF(AND(API_Cosevi[[#This Row],[Rol persona]]="Motociclista", OR(API_Cosevi[[#This Row],[Dia]]="Domingo", API_Cosevi[[#This Row],[Dia]]="Sabado")), 1, 0)</f>
        <v>0</v>
      </c>
      <c r="L370">
        <f>IF(AND(API_Cosevi[[#This Row],[Rol persona]]="Motociclista", OR(API_Cosevi[[#This Row],[Edad quinquenal]]="15 A 19", API_Cosevi[[#This Row],[Edad quinquenal]]="10 A 14")), 1, 0)</f>
        <v>0</v>
      </c>
    </row>
    <row r="371" spans="1:12" x14ac:dyDescent="0.3">
      <c r="A371" t="s">
        <v>91</v>
      </c>
      <c r="B371" t="s">
        <v>34</v>
      </c>
      <c r="C371" t="s">
        <v>44</v>
      </c>
      <c r="D371" t="s">
        <v>24</v>
      </c>
      <c r="E371" t="s">
        <v>124</v>
      </c>
      <c r="F371" t="s">
        <v>12</v>
      </c>
      <c r="G371">
        <v>31</v>
      </c>
      <c r="H371" t="s">
        <v>133</v>
      </c>
      <c r="I371" t="s">
        <v>148</v>
      </c>
      <c r="J371" t="s">
        <v>21</v>
      </c>
      <c r="K371">
        <f>IF(AND(API_Cosevi[[#This Row],[Rol persona]]="Motociclista", OR(API_Cosevi[[#This Row],[Dia]]="Domingo", API_Cosevi[[#This Row],[Dia]]="Sabado")), 1, 0)</f>
        <v>0</v>
      </c>
      <c r="L371">
        <f>IF(AND(API_Cosevi[[#This Row],[Rol persona]]="Motociclista", OR(API_Cosevi[[#This Row],[Edad quinquenal]]="15 A 19", API_Cosevi[[#This Row],[Edad quinquenal]]="10 A 14")), 1, 0)</f>
        <v>0</v>
      </c>
    </row>
    <row r="372" spans="1:12" x14ac:dyDescent="0.3">
      <c r="A372" t="s">
        <v>33</v>
      </c>
      <c r="B372" t="s">
        <v>34</v>
      </c>
      <c r="C372" t="s">
        <v>80</v>
      </c>
      <c r="D372">
        <v>27</v>
      </c>
      <c r="E372" t="s">
        <v>158</v>
      </c>
      <c r="F372" t="s">
        <v>12</v>
      </c>
      <c r="G372">
        <v>30</v>
      </c>
      <c r="H372" t="s">
        <v>132</v>
      </c>
      <c r="I372" t="s">
        <v>148</v>
      </c>
      <c r="J372" t="s">
        <v>21</v>
      </c>
      <c r="K372">
        <f>IF(AND(API_Cosevi[[#This Row],[Rol persona]]="Motociclista", OR(API_Cosevi[[#This Row],[Dia]]="Domingo", API_Cosevi[[#This Row],[Dia]]="Sabado")), 1, 0)</f>
        <v>0</v>
      </c>
      <c r="L372">
        <f>IF(AND(API_Cosevi[[#This Row],[Rol persona]]="Motociclista", OR(API_Cosevi[[#This Row],[Edad quinquenal]]="15 A 19", API_Cosevi[[#This Row],[Edad quinquenal]]="10 A 14")), 1, 0)</f>
        <v>0</v>
      </c>
    </row>
    <row r="373" spans="1:12" x14ac:dyDescent="0.3">
      <c r="A373" t="s">
        <v>33</v>
      </c>
      <c r="B373" t="s">
        <v>64</v>
      </c>
      <c r="C373" t="s">
        <v>101</v>
      </c>
      <c r="D373">
        <v>32</v>
      </c>
      <c r="E373" t="s">
        <v>39</v>
      </c>
      <c r="F373" t="s">
        <v>12</v>
      </c>
      <c r="G373">
        <v>24</v>
      </c>
      <c r="H373" t="s">
        <v>138</v>
      </c>
      <c r="I373" t="s">
        <v>148</v>
      </c>
      <c r="J373" t="s">
        <v>17</v>
      </c>
      <c r="K373">
        <f>IF(AND(API_Cosevi[[#This Row],[Rol persona]]="Motociclista", OR(API_Cosevi[[#This Row],[Dia]]="Domingo", API_Cosevi[[#This Row],[Dia]]="Sabado")), 1, 0)</f>
        <v>0</v>
      </c>
      <c r="L373">
        <f>IF(AND(API_Cosevi[[#This Row],[Rol persona]]="Motociclista", OR(API_Cosevi[[#This Row],[Edad quinquenal]]="15 A 19", API_Cosevi[[#This Row],[Edad quinquenal]]="10 A 14")), 1, 0)</f>
        <v>0</v>
      </c>
    </row>
    <row r="374" spans="1:12" x14ac:dyDescent="0.3">
      <c r="A374" t="s">
        <v>33</v>
      </c>
      <c r="B374" t="s">
        <v>9</v>
      </c>
      <c r="C374" t="s">
        <v>20</v>
      </c>
      <c r="D374">
        <v>917</v>
      </c>
      <c r="E374" t="s">
        <v>11</v>
      </c>
      <c r="F374" t="s">
        <v>12</v>
      </c>
      <c r="G374">
        <v>19</v>
      </c>
      <c r="H374" t="s">
        <v>136</v>
      </c>
      <c r="I374" t="s">
        <v>148</v>
      </c>
      <c r="J374" t="s">
        <v>31</v>
      </c>
      <c r="K374">
        <f>IF(AND(API_Cosevi[[#This Row],[Rol persona]]="Motociclista", OR(API_Cosevi[[#This Row],[Dia]]="Domingo", API_Cosevi[[#This Row],[Dia]]="Sabado")), 1, 0)</f>
        <v>0</v>
      </c>
      <c r="L374">
        <f>IF(AND(API_Cosevi[[#This Row],[Rol persona]]="Motociclista", OR(API_Cosevi[[#This Row],[Edad quinquenal]]="15 A 19", API_Cosevi[[#This Row],[Edad quinquenal]]="10 A 14")), 1, 0)</f>
        <v>1</v>
      </c>
    </row>
    <row r="375" spans="1:12" x14ac:dyDescent="0.3">
      <c r="A375" t="s">
        <v>8</v>
      </c>
      <c r="B375" t="s">
        <v>40</v>
      </c>
      <c r="C375" t="s">
        <v>40</v>
      </c>
      <c r="D375">
        <v>1</v>
      </c>
      <c r="E375" t="s">
        <v>11</v>
      </c>
      <c r="F375" t="s">
        <v>12</v>
      </c>
      <c r="G375" t="s">
        <v>68</v>
      </c>
      <c r="H375" t="s">
        <v>136</v>
      </c>
      <c r="I375" t="s">
        <v>148</v>
      </c>
      <c r="J375" t="s">
        <v>68</v>
      </c>
      <c r="K375">
        <f>IF(AND(API_Cosevi[[#This Row],[Rol persona]]="Motociclista", OR(API_Cosevi[[#This Row],[Dia]]="Domingo", API_Cosevi[[#This Row],[Dia]]="Sabado")), 1, 0)</f>
        <v>0</v>
      </c>
      <c r="L375">
        <f>IF(AND(API_Cosevi[[#This Row],[Rol persona]]="Motociclista", OR(API_Cosevi[[#This Row],[Edad quinquenal]]="15 A 19", API_Cosevi[[#This Row],[Edad quinquenal]]="10 A 14")), 1, 0)</f>
        <v>0</v>
      </c>
    </row>
    <row r="376" spans="1:12" x14ac:dyDescent="0.3">
      <c r="A376" t="s">
        <v>38</v>
      </c>
      <c r="B376" t="s">
        <v>9</v>
      </c>
      <c r="C376" t="s">
        <v>26</v>
      </c>
      <c r="D376">
        <v>1</v>
      </c>
      <c r="E376" t="s">
        <v>39</v>
      </c>
      <c r="F376" t="s">
        <v>12</v>
      </c>
      <c r="G376">
        <v>30</v>
      </c>
      <c r="H376" t="s">
        <v>135</v>
      </c>
      <c r="I376" t="s">
        <v>148</v>
      </c>
      <c r="J376" t="s">
        <v>21</v>
      </c>
      <c r="K376">
        <f>IF(AND(API_Cosevi[[#This Row],[Rol persona]]="Motociclista", OR(API_Cosevi[[#This Row],[Dia]]="Domingo", API_Cosevi[[#This Row],[Dia]]="Sabado")), 1, 0)</f>
        <v>0</v>
      </c>
      <c r="L376">
        <f>IF(AND(API_Cosevi[[#This Row],[Rol persona]]="Motociclista", OR(API_Cosevi[[#This Row],[Edad quinquenal]]="15 A 19", API_Cosevi[[#This Row],[Edad quinquenal]]="10 A 14")), 1, 0)</f>
        <v>0</v>
      </c>
    </row>
    <row r="377" spans="1:12" x14ac:dyDescent="0.3">
      <c r="A377" t="s">
        <v>8</v>
      </c>
      <c r="B377" t="s">
        <v>50</v>
      </c>
      <c r="C377" t="s">
        <v>58</v>
      </c>
      <c r="D377">
        <v>2</v>
      </c>
      <c r="E377" t="s">
        <v>25</v>
      </c>
      <c r="F377" t="s">
        <v>12</v>
      </c>
      <c r="G377" t="s">
        <v>68</v>
      </c>
      <c r="H377" t="s">
        <v>133</v>
      </c>
      <c r="I377" t="s">
        <v>148</v>
      </c>
      <c r="J377" t="s">
        <v>68</v>
      </c>
      <c r="K377">
        <f>IF(AND(API_Cosevi[[#This Row],[Rol persona]]="Motociclista", OR(API_Cosevi[[#This Row],[Dia]]="Domingo", API_Cosevi[[#This Row],[Dia]]="Sabado")), 1, 0)</f>
        <v>0</v>
      </c>
      <c r="L377">
        <f>IF(AND(API_Cosevi[[#This Row],[Rol persona]]="Motociclista", OR(API_Cosevi[[#This Row],[Edad quinquenal]]="15 A 19", API_Cosevi[[#This Row],[Edad quinquenal]]="10 A 14")), 1, 0)</f>
        <v>0</v>
      </c>
    </row>
    <row r="378" spans="1:12" x14ac:dyDescent="0.3">
      <c r="A378" t="s">
        <v>8</v>
      </c>
      <c r="B378" t="s">
        <v>14</v>
      </c>
      <c r="C378" t="s">
        <v>61</v>
      </c>
      <c r="D378">
        <v>34</v>
      </c>
      <c r="E378" t="s">
        <v>16</v>
      </c>
      <c r="F378" t="s">
        <v>35</v>
      </c>
      <c r="G378">
        <v>36</v>
      </c>
      <c r="H378" t="s">
        <v>132</v>
      </c>
      <c r="I378" t="s">
        <v>148</v>
      </c>
      <c r="J378" t="s">
        <v>32</v>
      </c>
      <c r="K378">
        <f>IF(AND(API_Cosevi[[#This Row],[Rol persona]]="Motociclista", OR(API_Cosevi[[#This Row],[Dia]]="Domingo", API_Cosevi[[#This Row],[Dia]]="Sabado")), 1, 0)</f>
        <v>0</v>
      </c>
      <c r="L378">
        <f>IF(AND(API_Cosevi[[#This Row],[Rol persona]]="Motociclista", OR(API_Cosevi[[#This Row],[Edad quinquenal]]="15 A 19", API_Cosevi[[#This Row],[Edad quinquenal]]="10 A 14")), 1, 0)</f>
        <v>0</v>
      </c>
    </row>
    <row r="379" spans="1:12" x14ac:dyDescent="0.3">
      <c r="A379" t="s">
        <v>8</v>
      </c>
      <c r="B379" t="s">
        <v>64</v>
      </c>
      <c r="C379" t="s">
        <v>70</v>
      </c>
      <c r="D379">
        <v>810</v>
      </c>
      <c r="E379" t="s">
        <v>11</v>
      </c>
      <c r="F379" t="s">
        <v>12</v>
      </c>
      <c r="G379">
        <v>42</v>
      </c>
      <c r="H379" t="s">
        <v>132</v>
      </c>
      <c r="I379" t="s">
        <v>148</v>
      </c>
      <c r="J379" t="s">
        <v>28</v>
      </c>
      <c r="K379">
        <f>IF(AND(API_Cosevi[[#This Row],[Rol persona]]="Motociclista", OR(API_Cosevi[[#This Row],[Dia]]="Domingo", API_Cosevi[[#This Row],[Dia]]="Sabado")), 1, 0)</f>
        <v>1</v>
      </c>
      <c r="L379">
        <f>IF(AND(API_Cosevi[[#This Row],[Rol persona]]="Motociclista", OR(API_Cosevi[[#This Row],[Edad quinquenal]]="15 A 19", API_Cosevi[[#This Row],[Edad quinquenal]]="10 A 14")), 1, 0)</f>
        <v>0</v>
      </c>
    </row>
    <row r="380" spans="1:12" x14ac:dyDescent="0.3">
      <c r="A380" t="s">
        <v>8</v>
      </c>
      <c r="B380" t="s">
        <v>14</v>
      </c>
      <c r="C380" t="s">
        <v>88</v>
      </c>
      <c r="D380" t="s">
        <v>24</v>
      </c>
      <c r="E380" t="s">
        <v>11</v>
      </c>
      <c r="F380" t="s">
        <v>12</v>
      </c>
      <c r="G380">
        <v>21</v>
      </c>
      <c r="H380" t="s">
        <v>132</v>
      </c>
      <c r="I380" t="s">
        <v>148</v>
      </c>
      <c r="J380" t="s">
        <v>17</v>
      </c>
      <c r="K380">
        <f>IF(AND(API_Cosevi[[#This Row],[Rol persona]]="Motociclista", OR(API_Cosevi[[#This Row],[Dia]]="Domingo", API_Cosevi[[#This Row],[Dia]]="Sabado")), 1, 0)</f>
        <v>1</v>
      </c>
      <c r="L380">
        <f>IF(AND(API_Cosevi[[#This Row],[Rol persona]]="Motociclista", OR(API_Cosevi[[#This Row],[Edad quinquenal]]="15 A 19", API_Cosevi[[#This Row],[Edad quinquenal]]="10 A 14")), 1, 0)</f>
        <v>0</v>
      </c>
    </row>
    <row r="381" spans="1:12" x14ac:dyDescent="0.3">
      <c r="A381" t="s">
        <v>33</v>
      </c>
      <c r="B381" t="s">
        <v>14</v>
      </c>
      <c r="C381" t="s">
        <v>41</v>
      </c>
      <c r="D381">
        <v>34</v>
      </c>
      <c r="E381" t="s">
        <v>158</v>
      </c>
      <c r="F381" t="s">
        <v>12</v>
      </c>
      <c r="G381">
        <v>28</v>
      </c>
      <c r="H381" t="s">
        <v>138</v>
      </c>
      <c r="I381" t="s">
        <v>148</v>
      </c>
      <c r="J381" t="s">
        <v>13</v>
      </c>
      <c r="K381">
        <f>IF(AND(API_Cosevi[[#This Row],[Rol persona]]="Motociclista", OR(API_Cosevi[[#This Row],[Dia]]="Domingo", API_Cosevi[[#This Row],[Dia]]="Sabado")), 1, 0)</f>
        <v>0</v>
      </c>
      <c r="L381">
        <f>IF(AND(API_Cosevi[[#This Row],[Rol persona]]="Motociclista", OR(API_Cosevi[[#This Row],[Edad quinquenal]]="15 A 19", API_Cosevi[[#This Row],[Edad quinquenal]]="10 A 14")), 1, 0)</f>
        <v>0</v>
      </c>
    </row>
    <row r="382" spans="1:12" x14ac:dyDescent="0.3">
      <c r="A382" t="s">
        <v>46</v>
      </c>
      <c r="B382" t="s">
        <v>9</v>
      </c>
      <c r="C382" t="s">
        <v>52</v>
      </c>
      <c r="D382">
        <v>151</v>
      </c>
      <c r="E382" t="s">
        <v>11</v>
      </c>
      <c r="F382" t="s">
        <v>12</v>
      </c>
      <c r="G382">
        <v>20</v>
      </c>
      <c r="H382" t="s">
        <v>138</v>
      </c>
      <c r="I382" t="s">
        <v>148</v>
      </c>
      <c r="J382" t="s">
        <v>17</v>
      </c>
      <c r="K382">
        <f>IF(AND(API_Cosevi[[#This Row],[Rol persona]]="Motociclista", OR(API_Cosevi[[#This Row],[Dia]]="Domingo", API_Cosevi[[#This Row],[Dia]]="Sabado")), 1, 0)</f>
        <v>1</v>
      </c>
      <c r="L382">
        <f>IF(AND(API_Cosevi[[#This Row],[Rol persona]]="Motociclista", OR(API_Cosevi[[#This Row],[Edad quinquenal]]="15 A 19", API_Cosevi[[#This Row],[Edad quinquenal]]="10 A 14")), 1, 0)</f>
        <v>0</v>
      </c>
    </row>
    <row r="383" spans="1:12" x14ac:dyDescent="0.3">
      <c r="A383" t="s">
        <v>8</v>
      </c>
      <c r="B383" t="s">
        <v>29</v>
      </c>
      <c r="C383" t="s">
        <v>105</v>
      </c>
      <c r="D383">
        <v>717</v>
      </c>
      <c r="E383" t="s">
        <v>11</v>
      </c>
      <c r="F383" t="s">
        <v>12</v>
      </c>
      <c r="G383">
        <v>22</v>
      </c>
      <c r="H383" t="s">
        <v>137</v>
      </c>
      <c r="I383" t="s">
        <v>148</v>
      </c>
      <c r="J383" t="s">
        <v>17</v>
      </c>
      <c r="K383">
        <f>IF(AND(API_Cosevi[[#This Row],[Rol persona]]="Motociclista", OR(API_Cosevi[[#This Row],[Dia]]="Domingo", API_Cosevi[[#This Row],[Dia]]="Sabado")), 1, 0)</f>
        <v>0</v>
      </c>
      <c r="L383">
        <f>IF(AND(API_Cosevi[[#This Row],[Rol persona]]="Motociclista", OR(API_Cosevi[[#This Row],[Edad quinquenal]]="15 A 19", API_Cosevi[[#This Row],[Edad quinquenal]]="10 A 14")), 1, 0)</f>
        <v>0</v>
      </c>
    </row>
    <row r="384" spans="1:12" x14ac:dyDescent="0.3">
      <c r="A384" t="s">
        <v>38</v>
      </c>
      <c r="B384" t="s">
        <v>64</v>
      </c>
      <c r="C384" t="s">
        <v>70</v>
      </c>
      <c r="D384">
        <v>249</v>
      </c>
      <c r="E384" t="s">
        <v>39</v>
      </c>
      <c r="F384" t="s">
        <v>12</v>
      </c>
      <c r="G384">
        <v>76</v>
      </c>
      <c r="H384" t="s">
        <v>136</v>
      </c>
      <c r="I384" t="s">
        <v>148</v>
      </c>
      <c r="J384" t="s">
        <v>42</v>
      </c>
      <c r="K384">
        <f>IF(AND(API_Cosevi[[#This Row],[Rol persona]]="Motociclista", OR(API_Cosevi[[#This Row],[Dia]]="Domingo", API_Cosevi[[#This Row],[Dia]]="Sabado")), 1, 0)</f>
        <v>0</v>
      </c>
      <c r="L384">
        <f>IF(AND(API_Cosevi[[#This Row],[Rol persona]]="Motociclista", OR(API_Cosevi[[#This Row],[Edad quinquenal]]="15 A 19", API_Cosevi[[#This Row],[Edad quinquenal]]="10 A 14")), 1, 0)</f>
        <v>0</v>
      </c>
    </row>
    <row r="385" spans="1:12" x14ac:dyDescent="0.3">
      <c r="A385" t="s">
        <v>8</v>
      </c>
      <c r="B385" t="s">
        <v>64</v>
      </c>
      <c r="C385" t="s">
        <v>64</v>
      </c>
      <c r="D385">
        <v>36</v>
      </c>
      <c r="E385" t="s">
        <v>11</v>
      </c>
      <c r="F385" t="s">
        <v>12</v>
      </c>
      <c r="G385">
        <v>16</v>
      </c>
      <c r="H385" t="s">
        <v>135</v>
      </c>
      <c r="I385" t="s">
        <v>148</v>
      </c>
      <c r="J385" t="s">
        <v>31</v>
      </c>
      <c r="K385">
        <f>IF(AND(API_Cosevi[[#This Row],[Rol persona]]="Motociclista", OR(API_Cosevi[[#This Row],[Dia]]="Domingo", API_Cosevi[[#This Row],[Dia]]="Sabado")), 1, 0)</f>
        <v>0</v>
      </c>
      <c r="L385">
        <f>IF(AND(API_Cosevi[[#This Row],[Rol persona]]="Motociclista", OR(API_Cosevi[[#This Row],[Edad quinquenal]]="15 A 19", API_Cosevi[[#This Row],[Edad quinquenal]]="10 A 14")), 1, 0)</f>
        <v>1</v>
      </c>
    </row>
    <row r="386" spans="1:12" x14ac:dyDescent="0.3">
      <c r="A386" t="s">
        <v>46</v>
      </c>
      <c r="B386" t="s">
        <v>9</v>
      </c>
      <c r="C386" t="s">
        <v>77</v>
      </c>
      <c r="D386">
        <v>164</v>
      </c>
      <c r="E386" t="s">
        <v>11</v>
      </c>
      <c r="F386" t="s">
        <v>12</v>
      </c>
      <c r="G386">
        <v>29</v>
      </c>
      <c r="H386" t="s">
        <v>134</v>
      </c>
      <c r="I386" t="s">
        <v>148</v>
      </c>
      <c r="J386" t="s">
        <v>13</v>
      </c>
      <c r="K386">
        <f>IF(AND(API_Cosevi[[#This Row],[Rol persona]]="Motociclista", OR(API_Cosevi[[#This Row],[Dia]]="Domingo", API_Cosevi[[#This Row],[Dia]]="Sabado")), 1, 0)</f>
        <v>0</v>
      </c>
      <c r="L386">
        <f>IF(AND(API_Cosevi[[#This Row],[Rol persona]]="Motociclista", OR(API_Cosevi[[#This Row],[Edad quinquenal]]="15 A 19", API_Cosevi[[#This Row],[Edad quinquenal]]="10 A 14")), 1, 0)</f>
        <v>0</v>
      </c>
    </row>
    <row r="387" spans="1:12" x14ac:dyDescent="0.3">
      <c r="A387" t="s">
        <v>87</v>
      </c>
      <c r="B387" t="s">
        <v>64</v>
      </c>
      <c r="C387" t="s">
        <v>70</v>
      </c>
      <c r="D387">
        <v>32</v>
      </c>
      <c r="E387" t="s">
        <v>25</v>
      </c>
      <c r="F387" t="s">
        <v>12</v>
      </c>
      <c r="G387">
        <v>19</v>
      </c>
      <c r="H387" t="s">
        <v>134</v>
      </c>
      <c r="I387" t="s">
        <v>148</v>
      </c>
      <c r="J387" t="s">
        <v>31</v>
      </c>
      <c r="K387">
        <f>IF(AND(API_Cosevi[[#This Row],[Rol persona]]="Motociclista", OR(API_Cosevi[[#This Row],[Dia]]="Domingo", API_Cosevi[[#This Row],[Dia]]="Sabado")), 1, 0)</f>
        <v>0</v>
      </c>
      <c r="L387">
        <f>IF(AND(API_Cosevi[[#This Row],[Rol persona]]="Motociclista", OR(API_Cosevi[[#This Row],[Edad quinquenal]]="15 A 19", API_Cosevi[[#This Row],[Edad quinquenal]]="10 A 14")), 1, 0)</f>
        <v>0</v>
      </c>
    </row>
    <row r="388" spans="1:12" x14ac:dyDescent="0.3">
      <c r="A388" t="s">
        <v>8</v>
      </c>
      <c r="B388" t="s">
        <v>29</v>
      </c>
      <c r="C388" t="s">
        <v>48</v>
      </c>
      <c r="D388">
        <v>140</v>
      </c>
      <c r="E388" t="s">
        <v>11</v>
      </c>
      <c r="F388" t="s">
        <v>12</v>
      </c>
      <c r="G388">
        <v>22</v>
      </c>
      <c r="H388" t="s">
        <v>134</v>
      </c>
      <c r="I388" t="s">
        <v>148</v>
      </c>
      <c r="J388" t="s">
        <v>17</v>
      </c>
      <c r="K388">
        <f>IF(AND(API_Cosevi[[#This Row],[Rol persona]]="Motociclista", OR(API_Cosevi[[#This Row],[Dia]]="Domingo", API_Cosevi[[#This Row],[Dia]]="Sabado")), 1, 0)</f>
        <v>0</v>
      </c>
      <c r="L388">
        <f>IF(AND(API_Cosevi[[#This Row],[Rol persona]]="Motociclista", OR(API_Cosevi[[#This Row],[Edad quinquenal]]="15 A 19", API_Cosevi[[#This Row],[Edad quinquenal]]="10 A 14")), 1, 0)</f>
        <v>0</v>
      </c>
    </row>
    <row r="389" spans="1:12" x14ac:dyDescent="0.3">
      <c r="A389" t="s">
        <v>22</v>
      </c>
      <c r="B389" t="s">
        <v>9</v>
      </c>
      <c r="C389" t="s">
        <v>10</v>
      </c>
      <c r="D389">
        <v>155</v>
      </c>
      <c r="E389" t="s">
        <v>16</v>
      </c>
      <c r="F389" t="s">
        <v>12</v>
      </c>
      <c r="G389">
        <v>29</v>
      </c>
      <c r="H389" t="s">
        <v>132</v>
      </c>
      <c r="I389" t="s">
        <v>148</v>
      </c>
      <c r="J389" t="s">
        <v>13</v>
      </c>
      <c r="K389">
        <f>IF(AND(API_Cosevi[[#This Row],[Rol persona]]="Motociclista", OR(API_Cosevi[[#This Row],[Dia]]="Domingo", API_Cosevi[[#This Row],[Dia]]="Sabado")), 1, 0)</f>
        <v>0</v>
      </c>
      <c r="L389">
        <f>IF(AND(API_Cosevi[[#This Row],[Rol persona]]="Motociclista", OR(API_Cosevi[[#This Row],[Edad quinquenal]]="15 A 19", API_Cosevi[[#This Row],[Edad quinquenal]]="10 A 14")), 1, 0)</f>
        <v>0</v>
      </c>
    </row>
    <row r="390" spans="1:12" x14ac:dyDescent="0.3">
      <c r="A390" t="s">
        <v>8</v>
      </c>
      <c r="B390" t="s">
        <v>64</v>
      </c>
      <c r="C390" t="s">
        <v>70</v>
      </c>
      <c r="D390">
        <v>247</v>
      </c>
      <c r="E390" t="s">
        <v>11</v>
      </c>
      <c r="F390" t="s">
        <v>12</v>
      </c>
      <c r="G390">
        <v>25</v>
      </c>
      <c r="H390" t="s">
        <v>132</v>
      </c>
      <c r="I390" t="s">
        <v>148</v>
      </c>
      <c r="J390" t="s">
        <v>13</v>
      </c>
      <c r="K390">
        <f>IF(AND(API_Cosevi[[#This Row],[Rol persona]]="Motociclista", OR(API_Cosevi[[#This Row],[Dia]]="Domingo", API_Cosevi[[#This Row],[Dia]]="Sabado")), 1, 0)</f>
        <v>1</v>
      </c>
      <c r="L390">
        <f>IF(AND(API_Cosevi[[#This Row],[Rol persona]]="Motociclista", OR(API_Cosevi[[#This Row],[Edad quinquenal]]="15 A 19", API_Cosevi[[#This Row],[Edad quinquenal]]="10 A 14")), 1, 0)</f>
        <v>0</v>
      </c>
    </row>
    <row r="391" spans="1:12" x14ac:dyDescent="0.3">
      <c r="A391" t="s">
        <v>46</v>
      </c>
      <c r="B391" t="s">
        <v>14</v>
      </c>
      <c r="C391" t="s">
        <v>14</v>
      </c>
      <c r="D391">
        <v>132</v>
      </c>
      <c r="E391" t="s">
        <v>25</v>
      </c>
      <c r="F391" t="s">
        <v>12</v>
      </c>
      <c r="G391">
        <v>44</v>
      </c>
      <c r="H391" t="s">
        <v>138</v>
      </c>
      <c r="I391" t="s">
        <v>148</v>
      </c>
      <c r="J391" t="s">
        <v>28</v>
      </c>
      <c r="K391">
        <f>IF(AND(API_Cosevi[[#This Row],[Rol persona]]="Motociclista", OR(API_Cosevi[[#This Row],[Dia]]="Domingo", API_Cosevi[[#This Row],[Dia]]="Sabado")), 1, 0)</f>
        <v>0</v>
      </c>
      <c r="L391">
        <f>IF(AND(API_Cosevi[[#This Row],[Rol persona]]="Motociclista", OR(API_Cosevi[[#This Row],[Edad quinquenal]]="15 A 19", API_Cosevi[[#This Row],[Edad quinquenal]]="10 A 14")), 1, 0)</f>
        <v>0</v>
      </c>
    </row>
    <row r="392" spans="1:12" x14ac:dyDescent="0.3">
      <c r="A392" t="s">
        <v>87</v>
      </c>
      <c r="B392" t="s">
        <v>29</v>
      </c>
      <c r="C392" t="s">
        <v>48</v>
      </c>
      <c r="D392" t="s">
        <v>24</v>
      </c>
      <c r="E392" t="s">
        <v>11</v>
      </c>
      <c r="F392" t="s">
        <v>12</v>
      </c>
      <c r="G392" t="s">
        <v>68</v>
      </c>
      <c r="H392" t="s">
        <v>138</v>
      </c>
      <c r="I392" t="s">
        <v>148</v>
      </c>
      <c r="J392" t="s">
        <v>68</v>
      </c>
      <c r="K392">
        <f>IF(AND(API_Cosevi[[#This Row],[Rol persona]]="Motociclista", OR(API_Cosevi[[#This Row],[Dia]]="Domingo", API_Cosevi[[#This Row],[Dia]]="Sabado")), 1, 0)</f>
        <v>1</v>
      </c>
      <c r="L392">
        <f>IF(AND(API_Cosevi[[#This Row],[Rol persona]]="Motociclista", OR(API_Cosevi[[#This Row],[Edad quinquenal]]="15 A 19", API_Cosevi[[#This Row],[Edad quinquenal]]="10 A 14")), 1, 0)</f>
        <v>0</v>
      </c>
    </row>
    <row r="393" spans="1:12" x14ac:dyDescent="0.3">
      <c r="A393" t="s">
        <v>8</v>
      </c>
      <c r="B393" t="s">
        <v>64</v>
      </c>
      <c r="C393" t="s">
        <v>73</v>
      </c>
      <c r="D393">
        <v>36</v>
      </c>
      <c r="E393" t="s">
        <v>11</v>
      </c>
      <c r="F393" t="s">
        <v>12</v>
      </c>
      <c r="G393">
        <v>34</v>
      </c>
      <c r="H393" t="s">
        <v>136</v>
      </c>
      <c r="I393" t="s">
        <v>148</v>
      </c>
      <c r="J393" t="s">
        <v>21</v>
      </c>
      <c r="K393">
        <f>IF(AND(API_Cosevi[[#This Row],[Rol persona]]="Motociclista", OR(API_Cosevi[[#This Row],[Dia]]="Domingo", API_Cosevi[[#This Row],[Dia]]="Sabado")), 1, 0)</f>
        <v>0</v>
      </c>
      <c r="L393">
        <f>IF(AND(API_Cosevi[[#This Row],[Rol persona]]="Motociclista", OR(API_Cosevi[[#This Row],[Edad quinquenal]]="15 A 19", API_Cosevi[[#This Row],[Edad quinquenal]]="10 A 14")), 1, 0)</f>
        <v>0</v>
      </c>
    </row>
    <row r="394" spans="1:12" x14ac:dyDescent="0.3">
      <c r="A394" t="s">
        <v>91</v>
      </c>
      <c r="B394" t="s">
        <v>29</v>
      </c>
      <c r="C394" t="s">
        <v>37</v>
      </c>
      <c r="D394">
        <v>1</v>
      </c>
      <c r="E394" t="s">
        <v>11</v>
      </c>
      <c r="F394" t="s">
        <v>12</v>
      </c>
      <c r="G394">
        <v>28</v>
      </c>
      <c r="H394" t="s">
        <v>136</v>
      </c>
      <c r="I394" t="s">
        <v>148</v>
      </c>
      <c r="J394" t="s">
        <v>13</v>
      </c>
      <c r="K394">
        <f>IF(AND(API_Cosevi[[#This Row],[Rol persona]]="Motociclista", OR(API_Cosevi[[#This Row],[Dia]]="Domingo", API_Cosevi[[#This Row],[Dia]]="Sabado")), 1, 0)</f>
        <v>0</v>
      </c>
      <c r="L394">
        <f>IF(AND(API_Cosevi[[#This Row],[Rol persona]]="Motociclista", OR(API_Cosevi[[#This Row],[Edad quinquenal]]="15 A 19", API_Cosevi[[#This Row],[Edad quinquenal]]="10 A 14")), 1, 0)</f>
        <v>0</v>
      </c>
    </row>
    <row r="395" spans="1:12" x14ac:dyDescent="0.3">
      <c r="A395" t="s">
        <v>8</v>
      </c>
      <c r="B395" t="s">
        <v>34</v>
      </c>
      <c r="C395" t="s">
        <v>34</v>
      </c>
      <c r="D395">
        <v>214</v>
      </c>
      <c r="E395" t="s">
        <v>11</v>
      </c>
      <c r="F395" t="s">
        <v>12</v>
      </c>
      <c r="G395">
        <v>19</v>
      </c>
      <c r="H395" t="s">
        <v>134</v>
      </c>
      <c r="I395" t="s">
        <v>148</v>
      </c>
      <c r="J395" t="s">
        <v>31</v>
      </c>
      <c r="K395">
        <f>IF(AND(API_Cosevi[[#This Row],[Rol persona]]="Motociclista", OR(API_Cosevi[[#This Row],[Dia]]="Domingo", API_Cosevi[[#This Row],[Dia]]="Sabado")), 1, 0)</f>
        <v>0</v>
      </c>
      <c r="L395">
        <f>IF(AND(API_Cosevi[[#This Row],[Rol persona]]="Motociclista", OR(API_Cosevi[[#This Row],[Edad quinquenal]]="15 A 19", API_Cosevi[[#This Row],[Edad quinquenal]]="10 A 14")), 1, 0)</f>
        <v>1</v>
      </c>
    </row>
    <row r="396" spans="1:12" x14ac:dyDescent="0.3">
      <c r="A396" t="s">
        <v>91</v>
      </c>
      <c r="B396" t="s">
        <v>64</v>
      </c>
      <c r="C396" t="s">
        <v>70</v>
      </c>
      <c r="D396">
        <v>247</v>
      </c>
      <c r="E396" t="s">
        <v>62</v>
      </c>
      <c r="F396" t="s">
        <v>35</v>
      </c>
      <c r="G396">
        <v>37</v>
      </c>
      <c r="H396" t="s">
        <v>133</v>
      </c>
      <c r="I396" t="s">
        <v>149</v>
      </c>
      <c r="J396" t="s">
        <v>32</v>
      </c>
      <c r="K396">
        <f>IF(AND(API_Cosevi[[#This Row],[Rol persona]]="Motociclista", OR(API_Cosevi[[#This Row],[Dia]]="Domingo", API_Cosevi[[#This Row],[Dia]]="Sabado")), 1, 0)</f>
        <v>0</v>
      </c>
      <c r="L396">
        <f>IF(AND(API_Cosevi[[#This Row],[Rol persona]]="Motociclista", OR(API_Cosevi[[#This Row],[Edad quinquenal]]="15 A 19", API_Cosevi[[#This Row],[Edad quinquenal]]="10 A 14")), 1, 0)</f>
        <v>0</v>
      </c>
    </row>
    <row r="397" spans="1:12" x14ac:dyDescent="0.3">
      <c r="A397" t="s">
        <v>8</v>
      </c>
      <c r="B397" t="s">
        <v>9</v>
      </c>
      <c r="C397" t="s">
        <v>23</v>
      </c>
      <c r="D397" t="s">
        <v>24</v>
      </c>
      <c r="E397" t="s">
        <v>11</v>
      </c>
      <c r="F397" t="s">
        <v>12</v>
      </c>
      <c r="G397">
        <v>22</v>
      </c>
      <c r="H397" t="s">
        <v>132</v>
      </c>
      <c r="I397" t="s">
        <v>149</v>
      </c>
      <c r="J397" t="s">
        <v>17</v>
      </c>
      <c r="K397">
        <f>IF(AND(API_Cosevi[[#This Row],[Rol persona]]="Motociclista", OR(API_Cosevi[[#This Row],[Dia]]="Domingo", API_Cosevi[[#This Row],[Dia]]="Sabado")), 1, 0)</f>
        <v>1</v>
      </c>
      <c r="L397">
        <f>IF(AND(API_Cosevi[[#This Row],[Rol persona]]="Motociclista", OR(API_Cosevi[[#This Row],[Edad quinquenal]]="15 A 19", API_Cosevi[[#This Row],[Edad quinquenal]]="10 A 14")), 1, 0)</f>
        <v>0</v>
      </c>
    </row>
    <row r="398" spans="1:12" x14ac:dyDescent="0.3">
      <c r="A398" t="s">
        <v>8</v>
      </c>
      <c r="B398" t="s">
        <v>64</v>
      </c>
      <c r="C398" t="s">
        <v>120</v>
      </c>
      <c r="D398" t="s">
        <v>24</v>
      </c>
      <c r="E398" t="s">
        <v>39</v>
      </c>
      <c r="F398" t="s">
        <v>12</v>
      </c>
      <c r="G398" t="s">
        <v>68</v>
      </c>
      <c r="H398" t="s">
        <v>132</v>
      </c>
      <c r="I398" t="s">
        <v>149</v>
      </c>
      <c r="J398" t="s">
        <v>68</v>
      </c>
      <c r="K398">
        <f>IF(AND(API_Cosevi[[#This Row],[Rol persona]]="Motociclista", OR(API_Cosevi[[#This Row],[Dia]]="Domingo", API_Cosevi[[#This Row],[Dia]]="Sabado")), 1, 0)</f>
        <v>0</v>
      </c>
      <c r="L398">
        <f>IF(AND(API_Cosevi[[#This Row],[Rol persona]]="Motociclista", OR(API_Cosevi[[#This Row],[Edad quinquenal]]="15 A 19", API_Cosevi[[#This Row],[Edad quinquenal]]="10 A 14")), 1, 0)</f>
        <v>0</v>
      </c>
    </row>
    <row r="399" spans="1:12" x14ac:dyDescent="0.3">
      <c r="A399" t="s">
        <v>46</v>
      </c>
      <c r="B399" t="s">
        <v>29</v>
      </c>
      <c r="C399" t="s">
        <v>29</v>
      </c>
      <c r="D399">
        <v>153</v>
      </c>
      <c r="E399" t="s">
        <v>11</v>
      </c>
      <c r="F399" t="s">
        <v>12</v>
      </c>
      <c r="G399">
        <v>22</v>
      </c>
      <c r="H399" t="s">
        <v>138</v>
      </c>
      <c r="I399" t="s">
        <v>149</v>
      </c>
      <c r="J399" t="s">
        <v>17</v>
      </c>
      <c r="K399">
        <f>IF(AND(API_Cosevi[[#This Row],[Rol persona]]="Motociclista", OR(API_Cosevi[[#This Row],[Dia]]="Domingo", API_Cosevi[[#This Row],[Dia]]="Sabado")), 1, 0)</f>
        <v>1</v>
      </c>
      <c r="L399">
        <f>IF(AND(API_Cosevi[[#This Row],[Rol persona]]="Motociclista", OR(API_Cosevi[[#This Row],[Edad quinquenal]]="15 A 19", API_Cosevi[[#This Row],[Edad quinquenal]]="10 A 14")), 1, 0)</f>
        <v>0</v>
      </c>
    </row>
    <row r="400" spans="1:12" x14ac:dyDescent="0.3">
      <c r="A400" t="s">
        <v>91</v>
      </c>
      <c r="B400" t="s">
        <v>29</v>
      </c>
      <c r="C400" t="s">
        <v>48</v>
      </c>
      <c r="D400">
        <v>35</v>
      </c>
      <c r="E400" t="s">
        <v>11</v>
      </c>
      <c r="F400" t="s">
        <v>12</v>
      </c>
      <c r="G400">
        <v>28</v>
      </c>
      <c r="H400" t="s">
        <v>138</v>
      </c>
      <c r="I400" t="s">
        <v>149</v>
      </c>
      <c r="J400" t="s">
        <v>13</v>
      </c>
      <c r="K400">
        <f>IF(AND(API_Cosevi[[#This Row],[Rol persona]]="Motociclista", OR(API_Cosevi[[#This Row],[Dia]]="Domingo", API_Cosevi[[#This Row],[Dia]]="Sabado")), 1, 0)</f>
        <v>1</v>
      </c>
      <c r="L400">
        <f>IF(AND(API_Cosevi[[#This Row],[Rol persona]]="Motociclista", OR(API_Cosevi[[#This Row],[Edad quinquenal]]="15 A 19", API_Cosevi[[#This Row],[Edad quinquenal]]="10 A 14")), 1, 0)</f>
        <v>0</v>
      </c>
    </row>
    <row r="401" spans="1:12" x14ac:dyDescent="0.3">
      <c r="A401" t="s">
        <v>91</v>
      </c>
      <c r="B401" t="s">
        <v>64</v>
      </c>
      <c r="C401" t="s">
        <v>65</v>
      </c>
      <c r="D401" t="s">
        <v>24</v>
      </c>
      <c r="E401" t="s">
        <v>11</v>
      </c>
      <c r="F401" t="s">
        <v>12</v>
      </c>
      <c r="G401">
        <v>29</v>
      </c>
      <c r="H401" t="s">
        <v>138</v>
      </c>
      <c r="I401" t="s">
        <v>149</v>
      </c>
      <c r="J401" t="s">
        <v>13</v>
      </c>
      <c r="K401">
        <f>IF(AND(API_Cosevi[[#This Row],[Rol persona]]="Motociclista", OR(API_Cosevi[[#This Row],[Dia]]="Domingo", API_Cosevi[[#This Row],[Dia]]="Sabado")), 1, 0)</f>
        <v>1</v>
      </c>
      <c r="L401">
        <f>IF(AND(API_Cosevi[[#This Row],[Rol persona]]="Motociclista", OR(API_Cosevi[[#This Row],[Edad quinquenal]]="15 A 19", API_Cosevi[[#This Row],[Edad quinquenal]]="10 A 14")), 1, 0)</f>
        <v>0</v>
      </c>
    </row>
    <row r="402" spans="1:12" x14ac:dyDescent="0.3">
      <c r="A402" t="s">
        <v>22</v>
      </c>
      <c r="B402" t="s">
        <v>29</v>
      </c>
      <c r="C402" t="s">
        <v>29</v>
      </c>
      <c r="D402">
        <v>126</v>
      </c>
      <c r="E402" t="s">
        <v>25</v>
      </c>
      <c r="F402" t="s">
        <v>12</v>
      </c>
      <c r="G402">
        <v>40</v>
      </c>
      <c r="H402" t="s">
        <v>137</v>
      </c>
      <c r="I402" t="s">
        <v>149</v>
      </c>
      <c r="J402" t="s">
        <v>28</v>
      </c>
      <c r="K402">
        <f>IF(AND(API_Cosevi[[#This Row],[Rol persona]]="Motociclista", OR(API_Cosevi[[#This Row],[Dia]]="Domingo", API_Cosevi[[#This Row],[Dia]]="Sabado")), 1, 0)</f>
        <v>0</v>
      </c>
      <c r="L402">
        <f>IF(AND(API_Cosevi[[#This Row],[Rol persona]]="Motociclista", OR(API_Cosevi[[#This Row],[Edad quinquenal]]="15 A 19", API_Cosevi[[#This Row],[Edad quinquenal]]="10 A 14")), 1, 0)</f>
        <v>0</v>
      </c>
    </row>
    <row r="403" spans="1:12" x14ac:dyDescent="0.3">
      <c r="A403" t="s">
        <v>22</v>
      </c>
      <c r="B403" t="s">
        <v>29</v>
      </c>
      <c r="C403" t="s">
        <v>29</v>
      </c>
      <c r="D403">
        <v>126</v>
      </c>
      <c r="E403" t="s">
        <v>16</v>
      </c>
      <c r="F403" t="s">
        <v>12</v>
      </c>
      <c r="G403">
        <v>30</v>
      </c>
      <c r="H403" t="s">
        <v>137</v>
      </c>
      <c r="I403" t="s">
        <v>149</v>
      </c>
      <c r="J403" t="s">
        <v>21</v>
      </c>
      <c r="K403">
        <f>IF(AND(API_Cosevi[[#This Row],[Rol persona]]="Motociclista", OR(API_Cosevi[[#This Row],[Dia]]="Domingo", API_Cosevi[[#This Row],[Dia]]="Sabado")), 1, 0)</f>
        <v>0</v>
      </c>
      <c r="L403">
        <f>IF(AND(API_Cosevi[[#This Row],[Rol persona]]="Motociclista", OR(API_Cosevi[[#This Row],[Edad quinquenal]]="15 A 19", API_Cosevi[[#This Row],[Edad quinquenal]]="10 A 14")), 1, 0)</f>
        <v>0</v>
      </c>
    </row>
    <row r="404" spans="1:12" x14ac:dyDescent="0.3">
      <c r="A404" t="s">
        <v>8</v>
      </c>
      <c r="B404" t="s">
        <v>9</v>
      </c>
      <c r="C404" t="s">
        <v>52</v>
      </c>
      <c r="D404">
        <v>21</v>
      </c>
      <c r="E404" t="s">
        <v>82</v>
      </c>
      <c r="F404" t="s">
        <v>12</v>
      </c>
      <c r="G404">
        <v>82</v>
      </c>
      <c r="H404" t="s">
        <v>137</v>
      </c>
      <c r="I404" t="s">
        <v>149</v>
      </c>
      <c r="J404" t="s">
        <v>42</v>
      </c>
      <c r="K404">
        <f>IF(AND(API_Cosevi[[#This Row],[Rol persona]]="Motociclista", OR(API_Cosevi[[#This Row],[Dia]]="Domingo", API_Cosevi[[#This Row],[Dia]]="Sabado")), 1, 0)</f>
        <v>0</v>
      </c>
      <c r="L404">
        <f>IF(AND(API_Cosevi[[#This Row],[Rol persona]]="Motociclista", OR(API_Cosevi[[#This Row],[Edad quinquenal]]="15 A 19", API_Cosevi[[#This Row],[Edad quinquenal]]="10 A 14")), 1, 0)</f>
        <v>0</v>
      </c>
    </row>
    <row r="405" spans="1:12" x14ac:dyDescent="0.3">
      <c r="A405" t="s">
        <v>8</v>
      </c>
      <c r="B405" t="s">
        <v>9</v>
      </c>
      <c r="C405" t="s">
        <v>52</v>
      </c>
      <c r="D405">
        <v>21</v>
      </c>
      <c r="E405" t="s">
        <v>25</v>
      </c>
      <c r="F405" t="s">
        <v>12</v>
      </c>
      <c r="G405">
        <v>47</v>
      </c>
      <c r="H405" t="s">
        <v>137</v>
      </c>
      <c r="I405" t="s">
        <v>149</v>
      </c>
      <c r="J405" t="s">
        <v>19</v>
      </c>
      <c r="K405">
        <f>IF(AND(API_Cosevi[[#This Row],[Rol persona]]="Motociclista", OR(API_Cosevi[[#This Row],[Dia]]="Domingo", API_Cosevi[[#This Row],[Dia]]="Sabado")), 1, 0)</f>
        <v>0</v>
      </c>
      <c r="L405">
        <f>IF(AND(API_Cosevi[[#This Row],[Rol persona]]="Motociclista", OR(API_Cosevi[[#This Row],[Edad quinquenal]]="15 A 19", API_Cosevi[[#This Row],[Edad quinquenal]]="10 A 14")), 1, 0)</f>
        <v>0</v>
      </c>
    </row>
    <row r="406" spans="1:12" x14ac:dyDescent="0.3">
      <c r="A406" t="s">
        <v>33</v>
      </c>
      <c r="B406" t="s">
        <v>34</v>
      </c>
      <c r="C406" t="s">
        <v>34</v>
      </c>
      <c r="D406" t="s">
        <v>24</v>
      </c>
      <c r="E406" t="s">
        <v>158</v>
      </c>
      <c r="F406" t="s">
        <v>12</v>
      </c>
      <c r="G406">
        <v>43</v>
      </c>
      <c r="H406" t="s">
        <v>136</v>
      </c>
      <c r="I406" t="s">
        <v>149</v>
      </c>
      <c r="J406" t="s">
        <v>28</v>
      </c>
      <c r="K406">
        <f>IF(AND(API_Cosevi[[#This Row],[Rol persona]]="Motociclista", OR(API_Cosevi[[#This Row],[Dia]]="Domingo", API_Cosevi[[#This Row],[Dia]]="Sabado")), 1, 0)</f>
        <v>0</v>
      </c>
      <c r="L406">
        <f>IF(AND(API_Cosevi[[#This Row],[Rol persona]]="Motociclista", OR(API_Cosevi[[#This Row],[Edad quinquenal]]="15 A 19", API_Cosevi[[#This Row],[Edad quinquenal]]="10 A 14")), 1, 0)</f>
        <v>0</v>
      </c>
    </row>
    <row r="407" spans="1:12" x14ac:dyDescent="0.3">
      <c r="A407" t="s">
        <v>22</v>
      </c>
      <c r="B407" t="s">
        <v>14</v>
      </c>
      <c r="C407" t="s">
        <v>45</v>
      </c>
      <c r="D407">
        <v>2</v>
      </c>
      <c r="E407" t="s">
        <v>11</v>
      </c>
      <c r="F407" t="s">
        <v>12</v>
      </c>
      <c r="G407">
        <v>19</v>
      </c>
      <c r="H407" t="s">
        <v>135</v>
      </c>
      <c r="I407" t="s">
        <v>149</v>
      </c>
      <c r="J407" t="s">
        <v>31</v>
      </c>
      <c r="K407">
        <f>IF(AND(API_Cosevi[[#This Row],[Rol persona]]="Motociclista", OR(API_Cosevi[[#This Row],[Dia]]="Domingo", API_Cosevi[[#This Row],[Dia]]="Sabado")), 1, 0)</f>
        <v>0</v>
      </c>
      <c r="L407">
        <f>IF(AND(API_Cosevi[[#This Row],[Rol persona]]="Motociclista", OR(API_Cosevi[[#This Row],[Edad quinquenal]]="15 A 19", API_Cosevi[[#This Row],[Edad quinquenal]]="10 A 14")), 1, 0)</f>
        <v>1</v>
      </c>
    </row>
    <row r="408" spans="1:12" x14ac:dyDescent="0.3">
      <c r="A408" t="s">
        <v>91</v>
      </c>
      <c r="B408" t="s">
        <v>40</v>
      </c>
      <c r="C408" t="s">
        <v>86</v>
      </c>
      <c r="D408">
        <v>4</v>
      </c>
      <c r="E408" t="s">
        <v>11</v>
      </c>
      <c r="F408" t="s">
        <v>12</v>
      </c>
      <c r="G408">
        <v>56</v>
      </c>
      <c r="H408" t="s">
        <v>135</v>
      </c>
      <c r="I408" t="s">
        <v>149</v>
      </c>
      <c r="J408" t="s">
        <v>36</v>
      </c>
      <c r="K408">
        <f>IF(AND(API_Cosevi[[#This Row],[Rol persona]]="Motociclista", OR(API_Cosevi[[#This Row],[Dia]]="Domingo", API_Cosevi[[#This Row],[Dia]]="Sabado")), 1, 0)</f>
        <v>0</v>
      </c>
      <c r="L408">
        <f>IF(AND(API_Cosevi[[#This Row],[Rol persona]]="Motociclista", OR(API_Cosevi[[#This Row],[Edad quinquenal]]="15 A 19", API_Cosevi[[#This Row],[Edad quinquenal]]="10 A 14")), 1, 0)</f>
        <v>0</v>
      </c>
    </row>
    <row r="409" spans="1:12" x14ac:dyDescent="0.3">
      <c r="A409" t="s">
        <v>8</v>
      </c>
      <c r="B409" t="s">
        <v>9</v>
      </c>
      <c r="C409" t="s">
        <v>20</v>
      </c>
      <c r="D409">
        <v>21</v>
      </c>
      <c r="E409" t="s">
        <v>11</v>
      </c>
      <c r="F409" t="s">
        <v>12</v>
      </c>
      <c r="G409">
        <v>28</v>
      </c>
      <c r="H409" t="s">
        <v>135</v>
      </c>
      <c r="I409" t="s">
        <v>149</v>
      </c>
      <c r="J409" t="s">
        <v>13</v>
      </c>
      <c r="K409">
        <f>IF(AND(API_Cosevi[[#This Row],[Rol persona]]="Motociclista", OR(API_Cosevi[[#This Row],[Dia]]="Domingo", API_Cosevi[[#This Row],[Dia]]="Sabado")), 1, 0)</f>
        <v>0</v>
      </c>
      <c r="L409">
        <f>IF(AND(API_Cosevi[[#This Row],[Rol persona]]="Motociclista", OR(API_Cosevi[[#This Row],[Edad quinquenal]]="15 A 19", API_Cosevi[[#This Row],[Edad quinquenal]]="10 A 14")), 1, 0)</f>
        <v>0</v>
      </c>
    </row>
    <row r="410" spans="1:12" x14ac:dyDescent="0.3">
      <c r="A410" t="s">
        <v>33</v>
      </c>
      <c r="B410" t="s">
        <v>9</v>
      </c>
      <c r="C410" t="s">
        <v>26</v>
      </c>
      <c r="D410">
        <v>1</v>
      </c>
      <c r="E410" t="s">
        <v>158</v>
      </c>
      <c r="F410" t="s">
        <v>12</v>
      </c>
      <c r="G410" t="s">
        <v>68</v>
      </c>
      <c r="H410" t="s">
        <v>134</v>
      </c>
      <c r="I410" t="s">
        <v>149</v>
      </c>
      <c r="J410" t="s">
        <v>68</v>
      </c>
      <c r="K410">
        <f>IF(AND(API_Cosevi[[#This Row],[Rol persona]]="Motociclista", OR(API_Cosevi[[#This Row],[Dia]]="Domingo", API_Cosevi[[#This Row],[Dia]]="Sabado")), 1, 0)</f>
        <v>0</v>
      </c>
      <c r="L410">
        <f>IF(AND(API_Cosevi[[#This Row],[Rol persona]]="Motociclista", OR(API_Cosevi[[#This Row],[Edad quinquenal]]="15 A 19", API_Cosevi[[#This Row],[Edad quinquenal]]="10 A 14")), 1, 0)</f>
        <v>0</v>
      </c>
    </row>
    <row r="411" spans="1:12" x14ac:dyDescent="0.3">
      <c r="A411" t="s">
        <v>22</v>
      </c>
      <c r="B411" t="s">
        <v>34</v>
      </c>
      <c r="C411" t="s">
        <v>84</v>
      </c>
      <c r="D411" t="s">
        <v>24</v>
      </c>
      <c r="E411" t="s">
        <v>16</v>
      </c>
      <c r="F411" t="s">
        <v>12</v>
      </c>
      <c r="G411">
        <v>68</v>
      </c>
      <c r="H411" t="s">
        <v>134</v>
      </c>
      <c r="I411" t="s">
        <v>149</v>
      </c>
      <c r="J411" t="s">
        <v>27</v>
      </c>
      <c r="K411">
        <f>IF(AND(API_Cosevi[[#This Row],[Rol persona]]="Motociclista", OR(API_Cosevi[[#This Row],[Dia]]="Domingo", API_Cosevi[[#This Row],[Dia]]="Sabado")), 1, 0)</f>
        <v>0</v>
      </c>
      <c r="L411">
        <f>IF(AND(API_Cosevi[[#This Row],[Rol persona]]="Motociclista", OR(API_Cosevi[[#This Row],[Edad quinquenal]]="15 A 19", API_Cosevi[[#This Row],[Edad quinquenal]]="10 A 14")), 1, 0)</f>
        <v>0</v>
      </c>
    </row>
    <row r="412" spans="1:12" x14ac:dyDescent="0.3">
      <c r="A412" t="s">
        <v>38</v>
      </c>
      <c r="B412" t="s">
        <v>50</v>
      </c>
      <c r="C412" t="s">
        <v>125</v>
      </c>
      <c r="D412">
        <v>10</v>
      </c>
      <c r="E412" t="s">
        <v>39</v>
      </c>
      <c r="F412" t="s">
        <v>12</v>
      </c>
      <c r="G412">
        <v>15</v>
      </c>
      <c r="H412" t="s">
        <v>134</v>
      </c>
      <c r="I412" t="s">
        <v>149</v>
      </c>
      <c r="J412" t="s">
        <v>31</v>
      </c>
      <c r="K412">
        <f>IF(AND(API_Cosevi[[#This Row],[Rol persona]]="Motociclista", OR(API_Cosevi[[#This Row],[Dia]]="Domingo", API_Cosevi[[#This Row],[Dia]]="Sabado")), 1, 0)</f>
        <v>0</v>
      </c>
      <c r="L412">
        <f>IF(AND(API_Cosevi[[#This Row],[Rol persona]]="Motociclista", OR(API_Cosevi[[#This Row],[Edad quinquenal]]="15 A 19", API_Cosevi[[#This Row],[Edad quinquenal]]="10 A 14")), 1, 0)</f>
        <v>0</v>
      </c>
    </row>
    <row r="413" spans="1:12" x14ac:dyDescent="0.3">
      <c r="A413" t="s">
        <v>8</v>
      </c>
      <c r="B413" t="s">
        <v>50</v>
      </c>
      <c r="C413" t="s">
        <v>50</v>
      </c>
      <c r="D413">
        <v>219</v>
      </c>
      <c r="E413" t="s">
        <v>11</v>
      </c>
      <c r="F413" t="s">
        <v>12</v>
      </c>
      <c r="G413">
        <v>22</v>
      </c>
      <c r="H413" t="s">
        <v>134</v>
      </c>
      <c r="I413" t="s">
        <v>149</v>
      </c>
      <c r="J413" t="s">
        <v>17</v>
      </c>
      <c r="K413">
        <f>IF(AND(API_Cosevi[[#This Row],[Rol persona]]="Motociclista", OR(API_Cosevi[[#This Row],[Dia]]="Domingo", API_Cosevi[[#This Row],[Dia]]="Sabado")), 1, 0)</f>
        <v>0</v>
      </c>
      <c r="L413">
        <f>IF(AND(API_Cosevi[[#This Row],[Rol persona]]="Motociclista", OR(API_Cosevi[[#This Row],[Edad quinquenal]]="15 A 19", API_Cosevi[[#This Row],[Edad quinquenal]]="10 A 14")), 1, 0)</f>
        <v>0</v>
      </c>
    </row>
    <row r="414" spans="1:12" x14ac:dyDescent="0.3">
      <c r="A414" t="s">
        <v>8</v>
      </c>
      <c r="B414" t="s">
        <v>14</v>
      </c>
      <c r="C414" t="s">
        <v>90</v>
      </c>
      <c r="D414">
        <v>144</v>
      </c>
      <c r="E414" t="s">
        <v>11</v>
      </c>
      <c r="F414" t="s">
        <v>12</v>
      </c>
      <c r="G414">
        <v>75</v>
      </c>
      <c r="H414" t="s">
        <v>138</v>
      </c>
      <c r="I414" t="s">
        <v>149</v>
      </c>
      <c r="J414" t="s">
        <v>42</v>
      </c>
      <c r="K414">
        <f>IF(AND(API_Cosevi[[#This Row],[Rol persona]]="Motociclista", OR(API_Cosevi[[#This Row],[Dia]]="Domingo", API_Cosevi[[#This Row],[Dia]]="Sabado")), 1, 0)</f>
        <v>1</v>
      </c>
      <c r="L414">
        <f>IF(AND(API_Cosevi[[#This Row],[Rol persona]]="Motociclista", OR(API_Cosevi[[#This Row],[Edad quinquenal]]="15 A 19", API_Cosevi[[#This Row],[Edad quinquenal]]="10 A 14")), 1, 0)</f>
        <v>0</v>
      </c>
    </row>
    <row r="415" spans="1:12" x14ac:dyDescent="0.3">
      <c r="A415" t="s">
        <v>33</v>
      </c>
      <c r="B415" t="s">
        <v>29</v>
      </c>
      <c r="C415" t="s">
        <v>48</v>
      </c>
      <c r="D415">
        <v>141</v>
      </c>
      <c r="E415" t="s">
        <v>39</v>
      </c>
      <c r="F415" t="s">
        <v>12</v>
      </c>
      <c r="G415">
        <v>71</v>
      </c>
      <c r="H415" t="s">
        <v>138</v>
      </c>
      <c r="I415" t="s">
        <v>149</v>
      </c>
      <c r="J415" t="s">
        <v>94</v>
      </c>
      <c r="K415">
        <f>IF(AND(API_Cosevi[[#This Row],[Rol persona]]="Motociclista", OR(API_Cosevi[[#This Row],[Dia]]="Domingo", API_Cosevi[[#This Row],[Dia]]="Sabado")), 1, 0)</f>
        <v>0</v>
      </c>
      <c r="L415">
        <f>IF(AND(API_Cosevi[[#This Row],[Rol persona]]="Motociclista", OR(API_Cosevi[[#This Row],[Edad quinquenal]]="15 A 19", API_Cosevi[[#This Row],[Edad quinquenal]]="10 A 14")), 1, 0)</f>
        <v>0</v>
      </c>
    </row>
    <row r="416" spans="1:12" x14ac:dyDescent="0.3">
      <c r="A416" t="s">
        <v>8</v>
      </c>
      <c r="B416" t="s">
        <v>9</v>
      </c>
      <c r="C416" t="s">
        <v>52</v>
      </c>
      <c r="D416">
        <v>21</v>
      </c>
      <c r="E416" t="s">
        <v>62</v>
      </c>
      <c r="F416" t="s">
        <v>35</v>
      </c>
      <c r="G416">
        <v>75</v>
      </c>
      <c r="H416" t="s">
        <v>137</v>
      </c>
      <c r="I416" t="s">
        <v>149</v>
      </c>
      <c r="J416" t="s">
        <v>42</v>
      </c>
      <c r="K416">
        <f>IF(AND(API_Cosevi[[#This Row],[Rol persona]]="Motociclista", OR(API_Cosevi[[#This Row],[Dia]]="Domingo", API_Cosevi[[#This Row],[Dia]]="Sabado")), 1, 0)</f>
        <v>0</v>
      </c>
      <c r="L416">
        <f>IF(AND(API_Cosevi[[#This Row],[Rol persona]]="Motociclista", OR(API_Cosevi[[#This Row],[Edad quinquenal]]="15 A 19", API_Cosevi[[#This Row],[Edad quinquenal]]="10 A 14")), 1, 0)</f>
        <v>0</v>
      </c>
    </row>
    <row r="417" spans="1:12" x14ac:dyDescent="0.3">
      <c r="A417" t="s">
        <v>8</v>
      </c>
      <c r="B417" t="s">
        <v>14</v>
      </c>
      <c r="C417" t="s">
        <v>88</v>
      </c>
      <c r="D417">
        <v>2</v>
      </c>
      <c r="E417" t="s">
        <v>25</v>
      </c>
      <c r="F417" t="s">
        <v>12</v>
      </c>
      <c r="G417">
        <v>24</v>
      </c>
      <c r="H417" t="s">
        <v>137</v>
      </c>
      <c r="I417" t="s">
        <v>149</v>
      </c>
      <c r="J417" t="s">
        <v>17</v>
      </c>
      <c r="K417">
        <f>IF(AND(API_Cosevi[[#This Row],[Rol persona]]="Motociclista", OR(API_Cosevi[[#This Row],[Dia]]="Domingo", API_Cosevi[[#This Row],[Dia]]="Sabado")), 1, 0)</f>
        <v>0</v>
      </c>
      <c r="L417">
        <f>IF(AND(API_Cosevi[[#This Row],[Rol persona]]="Motociclista", OR(API_Cosevi[[#This Row],[Edad quinquenal]]="15 A 19", API_Cosevi[[#This Row],[Edad quinquenal]]="10 A 14")), 1, 0)</f>
        <v>0</v>
      </c>
    </row>
    <row r="418" spans="1:12" x14ac:dyDescent="0.3">
      <c r="A418" t="s">
        <v>46</v>
      </c>
      <c r="B418" t="s">
        <v>29</v>
      </c>
      <c r="C418" t="s">
        <v>74</v>
      </c>
      <c r="D418">
        <v>6</v>
      </c>
      <c r="E418" t="s">
        <v>25</v>
      </c>
      <c r="F418" t="s">
        <v>12</v>
      </c>
      <c r="G418">
        <v>41</v>
      </c>
      <c r="H418" t="s">
        <v>133</v>
      </c>
      <c r="I418" t="s">
        <v>149</v>
      </c>
      <c r="J418" t="s">
        <v>28</v>
      </c>
      <c r="K418">
        <f>IF(AND(API_Cosevi[[#This Row],[Rol persona]]="Motociclista", OR(API_Cosevi[[#This Row],[Dia]]="Domingo", API_Cosevi[[#This Row],[Dia]]="Sabado")), 1, 0)</f>
        <v>0</v>
      </c>
      <c r="L418">
        <f>IF(AND(API_Cosevi[[#This Row],[Rol persona]]="Motociclista", OR(API_Cosevi[[#This Row],[Edad quinquenal]]="15 A 19", API_Cosevi[[#This Row],[Edad quinquenal]]="10 A 14")), 1, 0)</f>
        <v>0</v>
      </c>
    </row>
    <row r="419" spans="1:12" x14ac:dyDescent="0.3">
      <c r="A419" t="s">
        <v>8</v>
      </c>
      <c r="B419" t="s">
        <v>29</v>
      </c>
      <c r="C419" t="s">
        <v>29</v>
      </c>
      <c r="D419">
        <v>27</v>
      </c>
      <c r="E419" t="s">
        <v>25</v>
      </c>
      <c r="F419" t="s">
        <v>12</v>
      </c>
      <c r="G419">
        <v>45</v>
      </c>
      <c r="H419" t="s">
        <v>133</v>
      </c>
      <c r="I419" t="s">
        <v>149</v>
      </c>
      <c r="J419" t="s">
        <v>19</v>
      </c>
      <c r="K419">
        <f>IF(AND(API_Cosevi[[#This Row],[Rol persona]]="Motociclista", OR(API_Cosevi[[#This Row],[Dia]]="Domingo", API_Cosevi[[#This Row],[Dia]]="Sabado")), 1, 0)</f>
        <v>0</v>
      </c>
      <c r="L419">
        <f>IF(AND(API_Cosevi[[#This Row],[Rol persona]]="Motociclista", OR(API_Cosevi[[#This Row],[Edad quinquenal]]="15 A 19", API_Cosevi[[#This Row],[Edad quinquenal]]="10 A 14")), 1, 0)</f>
        <v>0</v>
      </c>
    </row>
    <row r="420" spans="1:12" x14ac:dyDescent="0.3">
      <c r="A420" t="s">
        <v>8</v>
      </c>
      <c r="B420" t="s">
        <v>29</v>
      </c>
      <c r="C420" t="s">
        <v>29</v>
      </c>
      <c r="D420">
        <v>27</v>
      </c>
      <c r="E420" t="s">
        <v>16</v>
      </c>
      <c r="F420" t="s">
        <v>12</v>
      </c>
      <c r="G420">
        <v>27</v>
      </c>
      <c r="H420" t="s">
        <v>133</v>
      </c>
      <c r="I420" t="s">
        <v>149</v>
      </c>
      <c r="J420" t="s">
        <v>13</v>
      </c>
      <c r="K420">
        <f>IF(AND(API_Cosevi[[#This Row],[Rol persona]]="Motociclista", OR(API_Cosevi[[#This Row],[Dia]]="Domingo", API_Cosevi[[#This Row],[Dia]]="Sabado")), 1, 0)</f>
        <v>0</v>
      </c>
      <c r="L420">
        <f>IF(AND(API_Cosevi[[#This Row],[Rol persona]]="Motociclista", OR(API_Cosevi[[#This Row],[Edad quinquenal]]="15 A 19", API_Cosevi[[#This Row],[Edad quinquenal]]="10 A 14")), 1, 0)</f>
        <v>0</v>
      </c>
    </row>
    <row r="421" spans="1:12" x14ac:dyDescent="0.3">
      <c r="A421" t="s">
        <v>38</v>
      </c>
      <c r="B421" t="s">
        <v>50</v>
      </c>
      <c r="C421" t="s">
        <v>125</v>
      </c>
      <c r="D421">
        <v>232</v>
      </c>
      <c r="E421" t="s">
        <v>11</v>
      </c>
      <c r="F421" t="s">
        <v>12</v>
      </c>
      <c r="G421">
        <v>27</v>
      </c>
      <c r="H421" t="s">
        <v>132</v>
      </c>
      <c r="I421" t="s">
        <v>149</v>
      </c>
      <c r="J421" t="s">
        <v>13</v>
      </c>
      <c r="K421">
        <f>IF(AND(API_Cosevi[[#This Row],[Rol persona]]="Motociclista", OR(API_Cosevi[[#This Row],[Dia]]="Domingo", API_Cosevi[[#This Row],[Dia]]="Sabado")), 1, 0)</f>
        <v>1</v>
      </c>
      <c r="L421">
        <f>IF(AND(API_Cosevi[[#This Row],[Rol persona]]="Motociclista", OR(API_Cosevi[[#This Row],[Edad quinquenal]]="15 A 19", API_Cosevi[[#This Row],[Edad quinquenal]]="10 A 14")), 1, 0)</f>
        <v>0</v>
      </c>
    </row>
    <row r="422" spans="1:12" x14ac:dyDescent="0.3">
      <c r="A422" t="s">
        <v>46</v>
      </c>
      <c r="B422" t="s">
        <v>34</v>
      </c>
      <c r="C422" t="s">
        <v>34</v>
      </c>
      <c r="D422">
        <v>39</v>
      </c>
      <c r="E422" t="s">
        <v>11</v>
      </c>
      <c r="F422" t="s">
        <v>12</v>
      </c>
      <c r="G422">
        <v>24</v>
      </c>
      <c r="H422" t="s">
        <v>132</v>
      </c>
      <c r="I422" t="s">
        <v>149</v>
      </c>
      <c r="J422" t="s">
        <v>17</v>
      </c>
      <c r="K422">
        <f>IF(AND(API_Cosevi[[#This Row],[Rol persona]]="Motociclista", OR(API_Cosevi[[#This Row],[Dia]]="Domingo", API_Cosevi[[#This Row],[Dia]]="Sabado")), 1, 0)</f>
        <v>1</v>
      </c>
      <c r="L422">
        <f>IF(AND(API_Cosevi[[#This Row],[Rol persona]]="Motociclista", OR(API_Cosevi[[#This Row],[Edad quinquenal]]="15 A 19", API_Cosevi[[#This Row],[Edad quinquenal]]="10 A 14")), 1, 0)</f>
        <v>0</v>
      </c>
    </row>
    <row r="423" spans="1:12" x14ac:dyDescent="0.3">
      <c r="A423" t="s">
        <v>91</v>
      </c>
      <c r="B423" t="s">
        <v>50</v>
      </c>
      <c r="C423" t="s">
        <v>50</v>
      </c>
      <c r="D423">
        <v>228</v>
      </c>
      <c r="E423" t="s">
        <v>11</v>
      </c>
      <c r="F423" t="s">
        <v>12</v>
      </c>
      <c r="G423">
        <v>46</v>
      </c>
      <c r="H423" t="s">
        <v>132</v>
      </c>
      <c r="I423" t="s">
        <v>149</v>
      </c>
      <c r="J423" t="s">
        <v>19</v>
      </c>
      <c r="K423">
        <f>IF(AND(API_Cosevi[[#This Row],[Rol persona]]="Motociclista", OR(API_Cosevi[[#This Row],[Dia]]="Domingo", API_Cosevi[[#This Row],[Dia]]="Sabado")), 1, 0)</f>
        <v>1</v>
      </c>
      <c r="L423">
        <f>IF(AND(API_Cosevi[[#This Row],[Rol persona]]="Motociclista", OR(API_Cosevi[[#This Row],[Edad quinquenal]]="15 A 19", API_Cosevi[[#This Row],[Edad quinquenal]]="10 A 14")), 1, 0)</f>
        <v>0</v>
      </c>
    </row>
    <row r="424" spans="1:12" x14ac:dyDescent="0.3">
      <c r="A424" t="s">
        <v>38</v>
      </c>
      <c r="B424" t="s">
        <v>64</v>
      </c>
      <c r="C424" t="s">
        <v>64</v>
      </c>
      <c r="D424">
        <v>36</v>
      </c>
      <c r="E424" t="s">
        <v>39</v>
      </c>
      <c r="F424" t="s">
        <v>12</v>
      </c>
      <c r="G424">
        <v>39</v>
      </c>
      <c r="H424" t="s">
        <v>132</v>
      </c>
      <c r="I424" t="s">
        <v>149</v>
      </c>
      <c r="J424" t="s">
        <v>32</v>
      </c>
      <c r="K424">
        <f>IF(AND(API_Cosevi[[#This Row],[Rol persona]]="Motociclista", OR(API_Cosevi[[#This Row],[Dia]]="Domingo", API_Cosevi[[#This Row],[Dia]]="Sabado")), 1, 0)</f>
        <v>0</v>
      </c>
      <c r="L424">
        <f>IF(AND(API_Cosevi[[#This Row],[Rol persona]]="Motociclista", OR(API_Cosevi[[#This Row],[Edad quinquenal]]="15 A 19", API_Cosevi[[#This Row],[Edad quinquenal]]="10 A 14")), 1, 0)</f>
        <v>0</v>
      </c>
    </row>
    <row r="425" spans="1:12" x14ac:dyDescent="0.3">
      <c r="A425" t="s">
        <v>46</v>
      </c>
      <c r="B425" t="s">
        <v>29</v>
      </c>
      <c r="C425" t="s">
        <v>48</v>
      </c>
      <c r="D425">
        <v>140</v>
      </c>
      <c r="E425" t="s">
        <v>25</v>
      </c>
      <c r="F425" t="s">
        <v>12</v>
      </c>
      <c r="G425">
        <v>45</v>
      </c>
      <c r="H425" t="s">
        <v>138</v>
      </c>
      <c r="I425" t="s">
        <v>149</v>
      </c>
      <c r="J425" t="s">
        <v>19</v>
      </c>
      <c r="K425">
        <f>IF(AND(API_Cosevi[[#This Row],[Rol persona]]="Motociclista", OR(API_Cosevi[[#This Row],[Dia]]="Domingo", API_Cosevi[[#This Row],[Dia]]="Sabado")), 1, 0)</f>
        <v>0</v>
      </c>
      <c r="L425">
        <f>IF(AND(API_Cosevi[[#This Row],[Rol persona]]="Motociclista", OR(API_Cosevi[[#This Row],[Edad quinquenal]]="15 A 19", API_Cosevi[[#This Row],[Edad quinquenal]]="10 A 14")), 1, 0)</f>
        <v>0</v>
      </c>
    </row>
    <row r="426" spans="1:12" x14ac:dyDescent="0.3">
      <c r="A426" t="s">
        <v>91</v>
      </c>
      <c r="B426" t="s">
        <v>29</v>
      </c>
      <c r="C426" t="s">
        <v>92</v>
      </c>
      <c r="D426" t="s">
        <v>24</v>
      </c>
      <c r="E426" t="s">
        <v>25</v>
      </c>
      <c r="F426" t="s">
        <v>12</v>
      </c>
      <c r="G426">
        <v>22</v>
      </c>
      <c r="H426" t="s">
        <v>137</v>
      </c>
      <c r="I426" t="s">
        <v>149</v>
      </c>
      <c r="J426" t="s">
        <v>17</v>
      </c>
      <c r="K426">
        <f>IF(AND(API_Cosevi[[#This Row],[Rol persona]]="Motociclista", OR(API_Cosevi[[#This Row],[Dia]]="Domingo", API_Cosevi[[#This Row],[Dia]]="Sabado")), 1, 0)</f>
        <v>0</v>
      </c>
      <c r="L426">
        <f>IF(AND(API_Cosevi[[#This Row],[Rol persona]]="Motociclista", OR(API_Cosevi[[#This Row],[Edad quinquenal]]="15 A 19", API_Cosevi[[#This Row],[Edad quinquenal]]="10 A 14")), 1, 0)</f>
        <v>0</v>
      </c>
    </row>
    <row r="427" spans="1:12" x14ac:dyDescent="0.3">
      <c r="A427" t="s">
        <v>8</v>
      </c>
      <c r="B427" t="s">
        <v>9</v>
      </c>
      <c r="C427" t="s">
        <v>52</v>
      </c>
      <c r="D427">
        <v>21</v>
      </c>
      <c r="E427" t="s">
        <v>11</v>
      </c>
      <c r="F427" t="s">
        <v>12</v>
      </c>
      <c r="G427">
        <v>33</v>
      </c>
      <c r="H427" t="s">
        <v>135</v>
      </c>
      <c r="I427" t="s">
        <v>149</v>
      </c>
      <c r="J427" t="s">
        <v>21</v>
      </c>
      <c r="K427">
        <f>IF(AND(API_Cosevi[[#This Row],[Rol persona]]="Motociclista", OR(API_Cosevi[[#This Row],[Dia]]="Domingo", API_Cosevi[[#This Row],[Dia]]="Sabado")), 1, 0)</f>
        <v>0</v>
      </c>
      <c r="L427">
        <f>IF(AND(API_Cosevi[[#This Row],[Rol persona]]="Motociclista", OR(API_Cosevi[[#This Row],[Edad quinquenal]]="15 A 19", API_Cosevi[[#This Row],[Edad quinquenal]]="10 A 14")), 1, 0)</f>
        <v>0</v>
      </c>
    </row>
    <row r="428" spans="1:12" x14ac:dyDescent="0.3">
      <c r="A428" t="s">
        <v>114</v>
      </c>
      <c r="B428" t="s">
        <v>29</v>
      </c>
      <c r="C428" t="s">
        <v>74</v>
      </c>
      <c r="D428">
        <v>4</v>
      </c>
      <c r="E428" t="s">
        <v>62</v>
      </c>
      <c r="F428" t="s">
        <v>12</v>
      </c>
      <c r="G428">
        <v>46</v>
      </c>
      <c r="H428" t="s">
        <v>134</v>
      </c>
      <c r="I428" t="s">
        <v>149</v>
      </c>
      <c r="J428" t="s">
        <v>19</v>
      </c>
      <c r="K428">
        <f>IF(AND(API_Cosevi[[#This Row],[Rol persona]]="Motociclista", OR(API_Cosevi[[#This Row],[Dia]]="Domingo", API_Cosevi[[#This Row],[Dia]]="Sabado")), 1, 0)</f>
        <v>0</v>
      </c>
      <c r="L428">
        <f>IF(AND(API_Cosevi[[#This Row],[Rol persona]]="Motociclista", OR(API_Cosevi[[#This Row],[Edad quinquenal]]="15 A 19", API_Cosevi[[#This Row],[Edad quinquenal]]="10 A 14")), 1, 0)</f>
        <v>0</v>
      </c>
    </row>
    <row r="429" spans="1:12" x14ac:dyDescent="0.3">
      <c r="A429" t="s">
        <v>33</v>
      </c>
      <c r="B429" t="s">
        <v>29</v>
      </c>
      <c r="C429" t="s">
        <v>30</v>
      </c>
      <c r="D429">
        <v>27</v>
      </c>
      <c r="E429" t="s">
        <v>158</v>
      </c>
      <c r="F429" t="s">
        <v>12</v>
      </c>
      <c r="G429">
        <v>37</v>
      </c>
      <c r="H429" t="s">
        <v>132</v>
      </c>
      <c r="I429" t="s">
        <v>149</v>
      </c>
      <c r="J429" t="s">
        <v>32</v>
      </c>
      <c r="K429">
        <f>IF(AND(API_Cosevi[[#This Row],[Rol persona]]="Motociclista", OR(API_Cosevi[[#This Row],[Dia]]="Domingo", API_Cosevi[[#This Row],[Dia]]="Sabado")), 1, 0)</f>
        <v>0</v>
      </c>
      <c r="L429">
        <f>IF(AND(API_Cosevi[[#This Row],[Rol persona]]="Motociclista", OR(API_Cosevi[[#This Row],[Edad quinquenal]]="15 A 19", API_Cosevi[[#This Row],[Edad quinquenal]]="10 A 14")), 1, 0)</f>
        <v>0</v>
      </c>
    </row>
    <row r="430" spans="1:12" x14ac:dyDescent="0.3">
      <c r="A430" t="s">
        <v>38</v>
      </c>
      <c r="B430" t="s">
        <v>34</v>
      </c>
      <c r="C430" t="s">
        <v>84</v>
      </c>
      <c r="D430">
        <v>2</v>
      </c>
      <c r="E430" t="s">
        <v>39</v>
      </c>
      <c r="F430" t="s">
        <v>35</v>
      </c>
      <c r="G430">
        <v>33</v>
      </c>
      <c r="H430" t="s">
        <v>132</v>
      </c>
      <c r="I430" t="s">
        <v>149</v>
      </c>
      <c r="J430" t="s">
        <v>21</v>
      </c>
      <c r="K430">
        <f>IF(AND(API_Cosevi[[#This Row],[Rol persona]]="Motociclista", OR(API_Cosevi[[#This Row],[Dia]]="Domingo", API_Cosevi[[#This Row],[Dia]]="Sabado")), 1, 0)</f>
        <v>0</v>
      </c>
      <c r="L430">
        <f>IF(AND(API_Cosevi[[#This Row],[Rol persona]]="Motociclista", OR(API_Cosevi[[#This Row],[Edad quinquenal]]="15 A 19", API_Cosevi[[#This Row],[Edad quinquenal]]="10 A 14")), 1, 0)</f>
        <v>0</v>
      </c>
    </row>
    <row r="431" spans="1:12" x14ac:dyDescent="0.3">
      <c r="A431" t="s">
        <v>22</v>
      </c>
      <c r="B431" t="s">
        <v>40</v>
      </c>
      <c r="C431" t="s">
        <v>40</v>
      </c>
      <c r="D431">
        <v>3</v>
      </c>
      <c r="E431" t="s">
        <v>11</v>
      </c>
      <c r="F431" t="s">
        <v>12</v>
      </c>
      <c r="G431">
        <v>22</v>
      </c>
      <c r="H431" t="s">
        <v>132</v>
      </c>
      <c r="I431" t="s">
        <v>149</v>
      </c>
      <c r="J431" t="s">
        <v>17</v>
      </c>
      <c r="K431">
        <f>IF(AND(API_Cosevi[[#This Row],[Rol persona]]="Motociclista", OR(API_Cosevi[[#This Row],[Dia]]="Domingo", API_Cosevi[[#This Row],[Dia]]="Sabado")), 1, 0)</f>
        <v>1</v>
      </c>
      <c r="L431">
        <f>IF(AND(API_Cosevi[[#This Row],[Rol persona]]="Motociclista", OR(API_Cosevi[[#This Row],[Edad quinquenal]]="15 A 19", API_Cosevi[[#This Row],[Edad quinquenal]]="10 A 14")), 1, 0)</f>
        <v>0</v>
      </c>
    </row>
    <row r="432" spans="1:12" x14ac:dyDescent="0.3">
      <c r="A432" t="s">
        <v>91</v>
      </c>
      <c r="B432" t="s">
        <v>14</v>
      </c>
      <c r="C432" t="s">
        <v>18</v>
      </c>
      <c r="D432">
        <v>2</v>
      </c>
      <c r="E432" t="s">
        <v>11</v>
      </c>
      <c r="F432" t="s">
        <v>12</v>
      </c>
      <c r="G432">
        <v>55</v>
      </c>
      <c r="H432" t="s">
        <v>138</v>
      </c>
      <c r="I432" t="s">
        <v>149</v>
      </c>
      <c r="J432" t="s">
        <v>36</v>
      </c>
      <c r="K432">
        <f>IF(AND(API_Cosevi[[#This Row],[Rol persona]]="Motociclista", OR(API_Cosevi[[#This Row],[Dia]]="Domingo", API_Cosevi[[#This Row],[Dia]]="Sabado")), 1, 0)</f>
        <v>1</v>
      </c>
      <c r="L432">
        <f>IF(AND(API_Cosevi[[#This Row],[Rol persona]]="Motociclista", OR(API_Cosevi[[#This Row],[Edad quinquenal]]="15 A 19", API_Cosevi[[#This Row],[Edad quinquenal]]="10 A 14")), 1, 0)</f>
        <v>0</v>
      </c>
    </row>
    <row r="433" spans="1:12" x14ac:dyDescent="0.3">
      <c r="A433" t="s">
        <v>91</v>
      </c>
      <c r="B433" t="s">
        <v>14</v>
      </c>
      <c r="C433" t="s">
        <v>18</v>
      </c>
      <c r="D433">
        <v>2</v>
      </c>
      <c r="E433" t="s">
        <v>62</v>
      </c>
      <c r="F433" t="s">
        <v>35</v>
      </c>
      <c r="G433">
        <v>52</v>
      </c>
      <c r="H433" t="s">
        <v>138</v>
      </c>
      <c r="I433" t="s">
        <v>149</v>
      </c>
      <c r="J433" t="s">
        <v>60</v>
      </c>
      <c r="K433">
        <f>IF(AND(API_Cosevi[[#This Row],[Rol persona]]="Motociclista", OR(API_Cosevi[[#This Row],[Dia]]="Domingo", API_Cosevi[[#This Row],[Dia]]="Sabado")), 1, 0)</f>
        <v>0</v>
      </c>
      <c r="L433">
        <f>IF(AND(API_Cosevi[[#This Row],[Rol persona]]="Motociclista", OR(API_Cosevi[[#This Row],[Edad quinquenal]]="15 A 19", API_Cosevi[[#This Row],[Edad quinquenal]]="10 A 14")), 1, 0)</f>
        <v>0</v>
      </c>
    </row>
    <row r="434" spans="1:12" x14ac:dyDescent="0.3">
      <c r="A434" t="s">
        <v>8</v>
      </c>
      <c r="B434" t="s">
        <v>14</v>
      </c>
      <c r="C434" t="s">
        <v>61</v>
      </c>
      <c r="D434">
        <v>34</v>
      </c>
      <c r="E434" t="s">
        <v>11</v>
      </c>
      <c r="F434" t="s">
        <v>12</v>
      </c>
      <c r="G434">
        <v>66</v>
      </c>
      <c r="H434" t="s">
        <v>138</v>
      </c>
      <c r="I434" t="s">
        <v>149</v>
      </c>
      <c r="J434" t="s">
        <v>27</v>
      </c>
      <c r="K434">
        <f>IF(AND(API_Cosevi[[#This Row],[Rol persona]]="Motociclista", OR(API_Cosevi[[#This Row],[Dia]]="Domingo", API_Cosevi[[#This Row],[Dia]]="Sabado")), 1, 0)</f>
        <v>1</v>
      </c>
      <c r="L434">
        <f>IF(AND(API_Cosevi[[#This Row],[Rol persona]]="Motociclista", OR(API_Cosevi[[#This Row],[Edad quinquenal]]="15 A 19", API_Cosevi[[#This Row],[Edad quinquenal]]="10 A 14")), 1, 0)</f>
        <v>0</v>
      </c>
    </row>
    <row r="435" spans="1:12" x14ac:dyDescent="0.3">
      <c r="A435" t="s">
        <v>8</v>
      </c>
      <c r="B435" t="s">
        <v>34</v>
      </c>
      <c r="C435" t="s">
        <v>84</v>
      </c>
      <c r="D435">
        <v>243</v>
      </c>
      <c r="E435" t="s">
        <v>11</v>
      </c>
      <c r="F435" t="s">
        <v>12</v>
      </c>
      <c r="G435">
        <v>28</v>
      </c>
      <c r="H435" t="s">
        <v>136</v>
      </c>
      <c r="I435" t="s">
        <v>149</v>
      </c>
      <c r="J435" t="s">
        <v>13</v>
      </c>
      <c r="K435">
        <f>IF(AND(API_Cosevi[[#This Row],[Rol persona]]="Motociclista", OR(API_Cosevi[[#This Row],[Dia]]="Domingo", API_Cosevi[[#This Row],[Dia]]="Sabado")), 1, 0)</f>
        <v>0</v>
      </c>
      <c r="L435">
        <f>IF(AND(API_Cosevi[[#This Row],[Rol persona]]="Motociclista", OR(API_Cosevi[[#This Row],[Edad quinquenal]]="15 A 19", API_Cosevi[[#This Row],[Edad quinquenal]]="10 A 14")), 1, 0)</f>
        <v>0</v>
      </c>
    </row>
    <row r="436" spans="1:12" x14ac:dyDescent="0.3">
      <c r="A436" t="s">
        <v>46</v>
      </c>
      <c r="B436" t="s">
        <v>29</v>
      </c>
      <c r="C436" t="s">
        <v>48</v>
      </c>
      <c r="D436">
        <v>35</v>
      </c>
      <c r="E436" t="s">
        <v>25</v>
      </c>
      <c r="F436" t="s">
        <v>12</v>
      </c>
      <c r="G436">
        <v>30</v>
      </c>
      <c r="H436" t="s">
        <v>135</v>
      </c>
      <c r="I436" t="s">
        <v>149</v>
      </c>
      <c r="J436" t="s">
        <v>21</v>
      </c>
      <c r="K436">
        <f>IF(AND(API_Cosevi[[#This Row],[Rol persona]]="Motociclista", OR(API_Cosevi[[#This Row],[Dia]]="Domingo", API_Cosevi[[#This Row],[Dia]]="Sabado")), 1, 0)</f>
        <v>0</v>
      </c>
      <c r="L436">
        <f>IF(AND(API_Cosevi[[#This Row],[Rol persona]]="Motociclista", OR(API_Cosevi[[#This Row],[Edad quinquenal]]="15 A 19", API_Cosevi[[#This Row],[Edad quinquenal]]="10 A 14")), 1, 0)</f>
        <v>0</v>
      </c>
    </row>
    <row r="437" spans="1:12" x14ac:dyDescent="0.3">
      <c r="A437" t="s">
        <v>8</v>
      </c>
      <c r="B437" t="s">
        <v>40</v>
      </c>
      <c r="C437" t="s">
        <v>86</v>
      </c>
      <c r="D437">
        <v>4</v>
      </c>
      <c r="E437" t="s">
        <v>11</v>
      </c>
      <c r="F437" t="s">
        <v>12</v>
      </c>
      <c r="G437">
        <v>44</v>
      </c>
      <c r="H437" t="s">
        <v>134</v>
      </c>
      <c r="I437" t="s">
        <v>149</v>
      </c>
      <c r="J437" t="s">
        <v>28</v>
      </c>
      <c r="K437">
        <f>IF(AND(API_Cosevi[[#This Row],[Rol persona]]="Motociclista", OR(API_Cosevi[[#This Row],[Dia]]="Domingo", API_Cosevi[[#This Row],[Dia]]="Sabado")), 1, 0)</f>
        <v>0</v>
      </c>
      <c r="L437">
        <f>IF(AND(API_Cosevi[[#This Row],[Rol persona]]="Motociclista", OR(API_Cosevi[[#This Row],[Edad quinquenal]]="15 A 19", API_Cosevi[[#This Row],[Edad quinquenal]]="10 A 14")), 1, 0)</f>
        <v>0</v>
      </c>
    </row>
    <row r="438" spans="1:12" x14ac:dyDescent="0.3">
      <c r="A438" t="s">
        <v>22</v>
      </c>
      <c r="B438" t="s">
        <v>34</v>
      </c>
      <c r="C438" t="s">
        <v>126</v>
      </c>
      <c r="D438">
        <v>239</v>
      </c>
      <c r="E438" t="s">
        <v>25</v>
      </c>
      <c r="F438" t="s">
        <v>35</v>
      </c>
      <c r="G438">
        <v>36</v>
      </c>
      <c r="H438" t="s">
        <v>133</v>
      </c>
      <c r="I438" t="s">
        <v>149</v>
      </c>
      <c r="J438" t="s">
        <v>32</v>
      </c>
      <c r="K438">
        <f>IF(AND(API_Cosevi[[#This Row],[Rol persona]]="Motociclista", OR(API_Cosevi[[#This Row],[Dia]]="Domingo", API_Cosevi[[#This Row],[Dia]]="Sabado")), 1, 0)</f>
        <v>0</v>
      </c>
      <c r="L438">
        <f>IF(AND(API_Cosevi[[#This Row],[Rol persona]]="Motociclista", OR(API_Cosevi[[#This Row],[Edad quinquenal]]="15 A 19", API_Cosevi[[#This Row],[Edad quinquenal]]="10 A 14")), 1, 0)</f>
        <v>0</v>
      </c>
    </row>
    <row r="439" spans="1:12" x14ac:dyDescent="0.3">
      <c r="A439" t="s">
        <v>8</v>
      </c>
      <c r="B439" t="s">
        <v>34</v>
      </c>
      <c r="C439" t="s">
        <v>126</v>
      </c>
      <c r="D439">
        <v>239</v>
      </c>
      <c r="E439" t="s">
        <v>11</v>
      </c>
      <c r="F439" t="s">
        <v>12</v>
      </c>
      <c r="G439">
        <v>66</v>
      </c>
      <c r="H439" t="s">
        <v>133</v>
      </c>
      <c r="I439" t="s">
        <v>149</v>
      </c>
      <c r="J439" t="s">
        <v>27</v>
      </c>
      <c r="K439">
        <f>IF(AND(API_Cosevi[[#This Row],[Rol persona]]="Motociclista", OR(API_Cosevi[[#This Row],[Dia]]="Domingo", API_Cosevi[[#This Row],[Dia]]="Sabado")), 1, 0)</f>
        <v>0</v>
      </c>
      <c r="L439">
        <f>IF(AND(API_Cosevi[[#This Row],[Rol persona]]="Motociclista", OR(API_Cosevi[[#This Row],[Edad quinquenal]]="15 A 19", API_Cosevi[[#This Row],[Edad quinquenal]]="10 A 14")), 1, 0)</f>
        <v>0</v>
      </c>
    </row>
    <row r="440" spans="1:12" x14ac:dyDescent="0.3">
      <c r="A440" t="s">
        <v>33</v>
      </c>
      <c r="B440" t="s">
        <v>29</v>
      </c>
      <c r="C440" t="s">
        <v>30</v>
      </c>
      <c r="D440">
        <v>34</v>
      </c>
      <c r="E440" t="s">
        <v>158</v>
      </c>
      <c r="F440" t="s">
        <v>12</v>
      </c>
      <c r="G440">
        <v>24</v>
      </c>
      <c r="H440" t="s">
        <v>133</v>
      </c>
      <c r="I440" t="s">
        <v>149</v>
      </c>
      <c r="J440" t="s">
        <v>17</v>
      </c>
      <c r="K440">
        <f>IF(AND(API_Cosevi[[#This Row],[Rol persona]]="Motociclista", OR(API_Cosevi[[#This Row],[Dia]]="Domingo", API_Cosevi[[#This Row],[Dia]]="Sabado")), 1, 0)</f>
        <v>0</v>
      </c>
      <c r="L440">
        <f>IF(AND(API_Cosevi[[#This Row],[Rol persona]]="Motociclista", OR(API_Cosevi[[#This Row],[Edad quinquenal]]="15 A 19", API_Cosevi[[#This Row],[Edad quinquenal]]="10 A 14")), 1, 0)</f>
        <v>0</v>
      </c>
    </row>
    <row r="441" spans="1:12" x14ac:dyDescent="0.3">
      <c r="A441" t="s">
        <v>8</v>
      </c>
      <c r="B441" t="s">
        <v>64</v>
      </c>
      <c r="C441" t="s">
        <v>65</v>
      </c>
      <c r="D441">
        <v>32</v>
      </c>
      <c r="E441" t="s">
        <v>11</v>
      </c>
      <c r="F441" t="s">
        <v>12</v>
      </c>
      <c r="G441">
        <v>51</v>
      </c>
      <c r="H441" t="s">
        <v>132</v>
      </c>
      <c r="I441" t="s">
        <v>149</v>
      </c>
      <c r="J441" t="s">
        <v>60</v>
      </c>
      <c r="K441">
        <f>IF(AND(API_Cosevi[[#This Row],[Rol persona]]="Motociclista", OR(API_Cosevi[[#This Row],[Dia]]="Domingo", API_Cosevi[[#This Row],[Dia]]="Sabado")), 1, 0)</f>
        <v>1</v>
      </c>
      <c r="L441">
        <f>IF(AND(API_Cosevi[[#This Row],[Rol persona]]="Motociclista", OR(API_Cosevi[[#This Row],[Edad quinquenal]]="15 A 19", API_Cosevi[[#This Row],[Edad quinquenal]]="10 A 14")), 1, 0)</f>
        <v>0</v>
      </c>
    </row>
    <row r="442" spans="1:12" x14ac:dyDescent="0.3">
      <c r="A442" t="s">
        <v>22</v>
      </c>
      <c r="B442" t="s">
        <v>14</v>
      </c>
      <c r="C442" t="s">
        <v>61</v>
      </c>
      <c r="D442">
        <v>34</v>
      </c>
      <c r="E442" t="s">
        <v>16</v>
      </c>
      <c r="F442" t="s">
        <v>12</v>
      </c>
      <c r="G442">
        <v>66</v>
      </c>
      <c r="H442" t="s">
        <v>136</v>
      </c>
      <c r="I442" t="s">
        <v>150</v>
      </c>
      <c r="J442" t="s">
        <v>27</v>
      </c>
      <c r="K442">
        <f>IF(AND(API_Cosevi[[#This Row],[Rol persona]]="Motociclista", OR(API_Cosevi[[#This Row],[Dia]]="Domingo", API_Cosevi[[#This Row],[Dia]]="Sabado")), 1, 0)</f>
        <v>0</v>
      </c>
      <c r="L442">
        <f>IF(AND(API_Cosevi[[#This Row],[Rol persona]]="Motociclista", OR(API_Cosevi[[#This Row],[Edad quinquenal]]="15 A 19", API_Cosevi[[#This Row],[Edad quinquenal]]="10 A 14")), 1, 0)</f>
        <v>0</v>
      </c>
    </row>
    <row r="443" spans="1:12" x14ac:dyDescent="0.3">
      <c r="A443" t="s">
        <v>46</v>
      </c>
      <c r="B443" t="s">
        <v>64</v>
      </c>
      <c r="C443" t="s">
        <v>70</v>
      </c>
      <c r="D443">
        <v>249</v>
      </c>
      <c r="E443" t="s">
        <v>11</v>
      </c>
      <c r="F443" t="s">
        <v>12</v>
      </c>
      <c r="G443">
        <v>19</v>
      </c>
      <c r="H443" t="s">
        <v>135</v>
      </c>
      <c r="I443" t="s">
        <v>150</v>
      </c>
      <c r="J443" t="s">
        <v>31</v>
      </c>
      <c r="K443">
        <f>IF(AND(API_Cosevi[[#This Row],[Rol persona]]="Motociclista", OR(API_Cosevi[[#This Row],[Dia]]="Domingo", API_Cosevi[[#This Row],[Dia]]="Sabado")), 1, 0)</f>
        <v>0</v>
      </c>
      <c r="L443">
        <f>IF(AND(API_Cosevi[[#This Row],[Rol persona]]="Motociclista", OR(API_Cosevi[[#This Row],[Edad quinquenal]]="15 A 19", API_Cosevi[[#This Row],[Edad quinquenal]]="10 A 14")), 1, 0)</f>
        <v>1</v>
      </c>
    </row>
    <row r="444" spans="1:12" x14ac:dyDescent="0.3">
      <c r="A444" t="s">
        <v>8</v>
      </c>
      <c r="B444" t="s">
        <v>34</v>
      </c>
      <c r="C444" t="s">
        <v>34</v>
      </c>
      <c r="D444">
        <v>39</v>
      </c>
      <c r="E444" t="s">
        <v>11</v>
      </c>
      <c r="F444" t="s">
        <v>12</v>
      </c>
      <c r="G444">
        <v>36</v>
      </c>
      <c r="H444" t="s">
        <v>135</v>
      </c>
      <c r="I444" t="s">
        <v>150</v>
      </c>
      <c r="J444" t="s">
        <v>32</v>
      </c>
      <c r="K444">
        <f>IF(AND(API_Cosevi[[#This Row],[Rol persona]]="Motociclista", OR(API_Cosevi[[#This Row],[Dia]]="Domingo", API_Cosevi[[#This Row],[Dia]]="Sabado")), 1, 0)</f>
        <v>0</v>
      </c>
      <c r="L444">
        <f>IF(AND(API_Cosevi[[#This Row],[Rol persona]]="Motociclista", OR(API_Cosevi[[#This Row],[Edad quinquenal]]="15 A 19", API_Cosevi[[#This Row],[Edad quinquenal]]="10 A 14")), 1, 0)</f>
        <v>0</v>
      </c>
    </row>
    <row r="445" spans="1:12" x14ac:dyDescent="0.3">
      <c r="A445" t="s">
        <v>8</v>
      </c>
      <c r="B445" t="s">
        <v>64</v>
      </c>
      <c r="C445" t="s">
        <v>101</v>
      </c>
      <c r="D445">
        <v>415</v>
      </c>
      <c r="E445" t="s">
        <v>11</v>
      </c>
      <c r="F445" t="s">
        <v>12</v>
      </c>
      <c r="G445">
        <v>27</v>
      </c>
      <c r="H445" t="s">
        <v>135</v>
      </c>
      <c r="I445" t="s">
        <v>150</v>
      </c>
      <c r="J445" t="s">
        <v>13</v>
      </c>
      <c r="K445">
        <f>IF(AND(API_Cosevi[[#This Row],[Rol persona]]="Motociclista", OR(API_Cosevi[[#This Row],[Dia]]="Domingo", API_Cosevi[[#This Row],[Dia]]="Sabado")), 1, 0)</f>
        <v>0</v>
      </c>
      <c r="L445">
        <f>IF(AND(API_Cosevi[[#This Row],[Rol persona]]="Motociclista", OR(API_Cosevi[[#This Row],[Edad quinquenal]]="15 A 19", API_Cosevi[[#This Row],[Edad quinquenal]]="10 A 14")), 1, 0)</f>
        <v>0</v>
      </c>
    </row>
    <row r="446" spans="1:12" x14ac:dyDescent="0.3">
      <c r="A446" t="s">
        <v>33</v>
      </c>
      <c r="B446" t="s">
        <v>29</v>
      </c>
      <c r="C446" t="s">
        <v>37</v>
      </c>
      <c r="D446">
        <v>1</v>
      </c>
      <c r="E446" t="s">
        <v>158</v>
      </c>
      <c r="F446" t="s">
        <v>35</v>
      </c>
      <c r="G446">
        <v>66</v>
      </c>
      <c r="H446" t="s">
        <v>134</v>
      </c>
      <c r="I446" t="s">
        <v>150</v>
      </c>
      <c r="J446" t="s">
        <v>27</v>
      </c>
      <c r="K446">
        <f>IF(AND(API_Cosevi[[#This Row],[Rol persona]]="Motociclista", OR(API_Cosevi[[#This Row],[Dia]]="Domingo", API_Cosevi[[#This Row],[Dia]]="Sabado")), 1, 0)</f>
        <v>0</v>
      </c>
      <c r="L446">
        <f>IF(AND(API_Cosevi[[#This Row],[Rol persona]]="Motociclista", OR(API_Cosevi[[#This Row],[Edad quinquenal]]="15 A 19", API_Cosevi[[#This Row],[Edad quinquenal]]="10 A 14")), 1, 0)</f>
        <v>0</v>
      </c>
    </row>
    <row r="447" spans="1:12" x14ac:dyDescent="0.3">
      <c r="A447" t="s">
        <v>33</v>
      </c>
      <c r="B447" t="s">
        <v>9</v>
      </c>
      <c r="C447" t="s">
        <v>23</v>
      </c>
      <c r="D447">
        <v>150</v>
      </c>
      <c r="E447" t="s">
        <v>158</v>
      </c>
      <c r="F447" t="s">
        <v>12</v>
      </c>
      <c r="G447">
        <v>63</v>
      </c>
      <c r="H447" t="s">
        <v>133</v>
      </c>
      <c r="I447" t="s">
        <v>150</v>
      </c>
      <c r="J447" t="s">
        <v>49</v>
      </c>
      <c r="K447">
        <f>IF(AND(API_Cosevi[[#This Row],[Rol persona]]="Motociclista", OR(API_Cosevi[[#This Row],[Dia]]="Domingo", API_Cosevi[[#This Row],[Dia]]="Sabado")), 1, 0)</f>
        <v>0</v>
      </c>
      <c r="L447">
        <f>IF(AND(API_Cosevi[[#This Row],[Rol persona]]="Motociclista", OR(API_Cosevi[[#This Row],[Edad quinquenal]]="15 A 19", API_Cosevi[[#This Row],[Edad quinquenal]]="10 A 14")), 1, 0)</f>
        <v>0</v>
      </c>
    </row>
    <row r="448" spans="1:12" x14ac:dyDescent="0.3">
      <c r="A448" t="s">
        <v>8</v>
      </c>
      <c r="B448" t="s">
        <v>34</v>
      </c>
      <c r="C448" t="s">
        <v>111</v>
      </c>
      <c r="D448">
        <v>102</v>
      </c>
      <c r="E448" t="s">
        <v>11</v>
      </c>
      <c r="F448" t="s">
        <v>12</v>
      </c>
      <c r="G448">
        <v>31</v>
      </c>
      <c r="H448" t="s">
        <v>132</v>
      </c>
      <c r="I448" t="s">
        <v>150</v>
      </c>
      <c r="J448" t="s">
        <v>21</v>
      </c>
      <c r="K448">
        <f>IF(AND(API_Cosevi[[#This Row],[Rol persona]]="Motociclista", OR(API_Cosevi[[#This Row],[Dia]]="Domingo", API_Cosevi[[#This Row],[Dia]]="Sabado")), 1, 0)</f>
        <v>1</v>
      </c>
      <c r="L448">
        <f>IF(AND(API_Cosevi[[#This Row],[Rol persona]]="Motociclista", OR(API_Cosevi[[#This Row],[Edad quinquenal]]="15 A 19", API_Cosevi[[#This Row],[Edad quinquenal]]="10 A 14")), 1, 0)</f>
        <v>0</v>
      </c>
    </row>
    <row r="449" spans="1:12" x14ac:dyDescent="0.3">
      <c r="A449" t="s">
        <v>22</v>
      </c>
      <c r="B449" t="s">
        <v>9</v>
      </c>
      <c r="C449" t="s">
        <v>10</v>
      </c>
      <c r="D449">
        <v>910</v>
      </c>
      <c r="E449" t="s">
        <v>62</v>
      </c>
      <c r="F449" t="s">
        <v>35</v>
      </c>
      <c r="G449">
        <v>36</v>
      </c>
      <c r="H449" t="s">
        <v>132</v>
      </c>
      <c r="I449" t="s">
        <v>150</v>
      </c>
      <c r="J449" t="s">
        <v>32</v>
      </c>
      <c r="K449">
        <f>IF(AND(API_Cosevi[[#This Row],[Rol persona]]="Motociclista", OR(API_Cosevi[[#This Row],[Dia]]="Domingo", API_Cosevi[[#This Row],[Dia]]="Sabado")), 1, 0)</f>
        <v>0</v>
      </c>
      <c r="L449">
        <f>IF(AND(API_Cosevi[[#This Row],[Rol persona]]="Motociclista", OR(API_Cosevi[[#This Row],[Edad quinquenal]]="15 A 19", API_Cosevi[[#This Row],[Edad quinquenal]]="10 A 14")), 1, 0)</f>
        <v>0</v>
      </c>
    </row>
    <row r="450" spans="1:12" x14ac:dyDescent="0.3">
      <c r="A450" t="s">
        <v>46</v>
      </c>
      <c r="B450" t="s">
        <v>64</v>
      </c>
      <c r="C450" t="s">
        <v>65</v>
      </c>
      <c r="D450">
        <v>32</v>
      </c>
      <c r="E450" t="s">
        <v>25</v>
      </c>
      <c r="F450" t="s">
        <v>12</v>
      </c>
      <c r="G450">
        <v>54</v>
      </c>
      <c r="H450" t="s">
        <v>132</v>
      </c>
      <c r="I450" t="s">
        <v>150</v>
      </c>
      <c r="J450" t="s">
        <v>60</v>
      </c>
      <c r="K450">
        <f>IF(AND(API_Cosevi[[#This Row],[Rol persona]]="Motociclista", OR(API_Cosevi[[#This Row],[Dia]]="Domingo", API_Cosevi[[#This Row],[Dia]]="Sabado")), 1, 0)</f>
        <v>0</v>
      </c>
      <c r="L450">
        <f>IF(AND(API_Cosevi[[#This Row],[Rol persona]]="Motociclista", OR(API_Cosevi[[#This Row],[Edad quinquenal]]="15 A 19", API_Cosevi[[#This Row],[Edad quinquenal]]="10 A 14")), 1, 0)</f>
        <v>0</v>
      </c>
    </row>
    <row r="451" spans="1:12" x14ac:dyDescent="0.3">
      <c r="A451" t="s">
        <v>8</v>
      </c>
      <c r="B451" t="s">
        <v>29</v>
      </c>
      <c r="C451" t="s">
        <v>74</v>
      </c>
      <c r="D451">
        <v>6</v>
      </c>
      <c r="E451" t="s">
        <v>11</v>
      </c>
      <c r="F451" t="s">
        <v>12</v>
      </c>
      <c r="G451">
        <v>34</v>
      </c>
      <c r="H451" t="s">
        <v>132</v>
      </c>
      <c r="I451" t="s">
        <v>150</v>
      </c>
      <c r="J451" t="s">
        <v>21</v>
      </c>
      <c r="K451">
        <f>IF(AND(API_Cosevi[[#This Row],[Rol persona]]="Motociclista", OR(API_Cosevi[[#This Row],[Dia]]="Domingo", API_Cosevi[[#This Row],[Dia]]="Sabado")), 1, 0)</f>
        <v>1</v>
      </c>
      <c r="L451">
        <f>IF(AND(API_Cosevi[[#This Row],[Rol persona]]="Motociclista", OR(API_Cosevi[[#This Row],[Edad quinquenal]]="15 A 19", API_Cosevi[[#This Row],[Edad quinquenal]]="10 A 14")), 1, 0)</f>
        <v>0</v>
      </c>
    </row>
    <row r="452" spans="1:12" x14ac:dyDescent="0.3">
      <c r="A452" t="s">
        <v>8</v>
      </c>
      <c r="B452" t="s">
        <v>64</v>
      </c>
      <c r="C452" t="s">
        <v>64</v>
      </c>
      <c r="D452">
        <v>32</v>
      </c>
      <c r="E452" t="s">
        <v>11</v>
      </c>
      <c r="F452" t="s">
        <v>12</v>
      </c>
      <c r="G452">
        <v>38</v>
      </c>
      <c r="H452" t="s">
        <v>138</v>
      </c>
      <c r="I452" t="s">
        <v>150</v>
      </c>
      <c r="J452" t="s">
        <v>32</v>
      </c>
      <c r="K452">
        <f>IF(AND(API_Cosevi[[#This Row],[Rol persona]]="Motociclista", OR(API_Cosevi[[#This Row],[Dia]]="Domingo", API_Cosevi[[#This Row],[Dia]]="Sabado")), 1, 0)</f>
        <v>1</v>
      </c>
      <c r="L452">
        <f>IF(AND(API_Cosevi[[#This Row],[Rol persona]]="Motociclista", OR(API_Cosevi[[#This Row],[Edad quinquenal]]="15 A 19", API_Cosevi[[#This Row],[Edad quinquenal]]="10 A 14")), 1, 0)</f>
        <v>0</v>
      </c>
    </row>
    <row r="453" spans="1:12" x14ac:dyDescent="0.3">
      <c r="A453" t="s">
        <v>8</v>
      </c>
      <c r="B453" t="s">
        <v>34</v>
      </c>
      <c r="C453" t="s">
        <v>80</v>
      </c>
      <c r="D453">
        <v>27</v>
      </c>
      <c r="E453" t="s">
        <v>11</v>
      </c>
      <c r="F453" t="s">
        <v>12</v>
      </c>
      <c r="G453" t="s">
        <v>68</v>
      </c>
      <c r="H453" t="s">
        <v>138</v>
      </c>
      <c r="I453" t="s">
        <v>150</v>
      </c>
      <c r="J453" t="s">
        <v>68</v>
      </c>
      <c r="K453">
        <f>IF(AND(API_Cosevi[[#This Row],[Rol persona]]="Motociclista", OR(API_Cosevi[[#This Row],[Dia]]="Domingo", API_Cosevi[[#This Row],[Dia]]="Sabado")), 1, 0)</f>
        <v>1</v>
      </c>
      <c r="L453">
        <f>IF(AND(API_Cosevi[[#This Row],[Rol persona]]="Motociclista", OR(API_Cosevi[[#This Row],[Edad quinquenal]]="15 A 19", API_Cosevi[[#This Row],[Edad quinquenal]]="10 A 14")), 1, 0)</f>
        <v>0</v>
      </c>
    </row>
    <row r="454" spans="1:12" x14ac:dyDescent="0.3">
      <c r="A454" t="s">
        <v>8</v>
      </c>
      <c r="B454" t="s">
        <v>29</v>
      </c>
      <c r="C454" t="s">
        <v>29</v>
      </c>
      <c r="D454" t="s">
        <v>24</v>
      </c>
      <c r="E454" t="s">
        <v>39</v>
      </c>
      <c r="F454" t="s">
        <v>12</v>
      </c>
      <c r="G454">
        <v>40</v>
      </c>
      <c r="H454" t="s">
        <v>138</v>
      </c>
      <c r="I454" t="s">
        <v>150</v>
      </c>
      <c r="J454" t="s">
        <v>28</v>
      </c>
      <c r="K454">
        <f>IF(AND(API_Cosevi[[#This Row],[Rol persona]]="Motociclista", OR(API_Cosevi[[#This Row],[Dia]]="Domingo", API_Cosevi[[#This Row],[Dia]]="Sabado")), 1, 0)</f>
        <v>0</v>
      </c>
      <c r="L454">
        <f>IF(AND(API_Cosevi[[#This Row],[Rol persona]]="Motociclista", OR(API_Cosevi[[#This Row],[Edad quinquenal]]="15 A 19", API_Cosevi[[#This Row],[Edad quinquenal]]="10 A 14")), 1, 0)</f>
        <v>0</v>
      </c>
    </row>
    <row r="455" spans="1:12" x14ac:dyDescent="0.3">
      <c r="A455" t="s">
        <v>22</v>
      </c>
      <c r="B455" t="s">
        <v>29</v>
      </c>
      <c r="C455" t="s">
        <v>48</v>
      </c>
      <c r="D455">
        <v>140</v>
      </c>
      <c r="E455" t="s">
        <v>11</v>
      </c>
      <c r="F455" t="s">
        <v>12</v>
      </c>
      <c r="G455">
        <v>31</v>
      </c>
      <c r="H455" t="s">
        <v>138</v>
      </c>
      <c r="I455" t="s">
        <v>150</v>
      </c>
      <c r="J455" t="s">
        <v>21</v>
      </c>
      <c r="K455">
        <f>IF(AND(API_Cosevi[[#This Row],[Rol persona]]="Motociclista", OR(API_Cosevi[[#This Row],[Dia]]="Domingo", API_Cosevi[[#This Row],[Dia]]="Sabado")), 1, 0)</f>
        <v>1</v>
      </c>
      <c r="L455">
        <f>IF(AND(API_Cosevi[[#This Row],[Rol persona]]="Motociclista", OR(API_Cosevi[[#This Row],[Edad quinquenal]]="15 A 19", API_Cosevi[[#This Row],[Edad quinquenal]]="10 A 14")), 1, 0)</f>
        <v>0</v>
      </c>
    </row>
    <row r="456" spans="1:12" x14ac:dyDescent="0.3">
      <c r="A456" t="s">
        <v>8</v>
      </c>
      <c r="B456" t="s">
        <v>40</v>
      </c>
      <c r="C456" t="s">
        <v>40</v>
      </c>
      <c r="D456">
        <v>1</v>
      </c>
      <c r="E456" t="s">
        <v>11</v>
      </c>
      <c r="F456" t="s">
        <v>35</v>
      </c>
      <c r="G456">
        <v>52</v>
      </c>
      <c r="H456" t="s">
        <v>138</v>
      </c>
      <c r="I456" t="s">
        <v>150</v>
      </c>
      <c r="J456" t="s">
        <v>60</v>
      </c>
      <c r="K456">
        <f>IF(AND(API_Cosevi[[#This Row],[Rol persona]]="Motociclista", OR(API_Cosevi[[#This Row],[Dia]]="Domingo", API_Cosevi[[#This Row],[Dia]]="Sabado")), 1, 0)</f>
        <v>1</v>
      </c>
      <c r="L456">
        <f>IF(AND(API_Cosevi[[#This Row],[Rol persona]]="Motociclista", OR(API_Cosevi[[#This Row],[Edad quinquenal]]="15 A 19", API_Cosevi[[#This Row],[Edad quinquenal]]="10 A 14")), 1, 0)</f>
        <v>0</v>
      </c>
    </row>
    <row r="457" spans="1:12" x14ac:dyDescent="0.3">
      <c r="A457" t="s">
        <v>8</v>
      </c>
      <c r="B457" t="s">
        <v>40</v>
      </c>
      <c r="C457" t="s">
        <v>40</v>
      </c>
      <c r="D457">
        <v>1</v>
      </c>
      <c r="E457" t="s">
        <v>16</v>
      </c>
      <c r="F457" t="s">
        <v>35</v>
      </c>
      <c r="G457">
        <v>42</v>
      </c>
      <c r="H457" t="s">
        <v>138</v>
      </c>
      <c r="I457" t="s">
        <v>150</v>
      </c>
      <c r="J457" t="s">
        <v>28</v>
      </c>
      <c r="K457">
        <f>IF(AND(API_Cosevi[[#This Row],[Rol persona]]="Motociclista", OR(API_Cosevi[[#This Row],[Dia]]="Domingo", API_Cosevi[[#This Row],[Dia]]="Sabado")), 1, 0)</f>
        <v>0</v>
      </c>
      <c r="L457">
        <f>IF(AND(API_Cosevi[[#This Row],[Rol persona]]="Motociclista", OR(API_Cosevi[[#This Row],[Edad quinquenal]]="15 A 19", API_Cosevi[[#This Row],[Edad quinquenal]]="10 A 14")), 1, 0)</f>
        <v>0</v>
      </c>
    </row>
    <row r="458" spans="1:12" x14ac:dyDescent="0.3">
      <c r="A458" t="s">
        <v>22</v>
      </c>
      <c r="B458" t="s">
        <v>14</v>
      </c>
      <c r="C458" t="s">
        <v>66</v>
      </c>
      <c r="D458">
        <v>245</v>
      </c>
      <c r="E458" t="s">
        <v>11</v>
      </c>
      <c r="F458" t="s">
        <v>12</v>
      </c>
      <c r="G458">
        <v>18</v>
      </c>
      <c r="H458" t="s">
        <v>137</v>
      </c>
      <c r="I458" t="s">
        <v>150</v>
      </c>
      <c r="J458" t="s">
        <v>31</v>
      </c>
      <c r="K458">
        <f>IF(AND(API_Cosevi[[#This Row],[Rol persona]]="Motociclista", OR(API_Cosevi[[#This Row],[Dia]]="Domingo", API_Cosevi[[#This Row],[Dia]]="Sabado")), 1, 0)</f>
        <v>0</v>
      </c>
      <c r="L458">
        <f>IF(AND(API_Cosevi[[#This Row],[Rol persona]]="Motociclista", OR(API_Cosevi[[#This Row],[Edad quinquenal]]="15 A 19", API_Cosevi[[#This Row],[Edad quinquenal]]="10 A 14")), 1, 0)</f>
        <v>1</v>
      </c>
    </row>
    <row r="459" spans="1:12" x14ac:dyDescent="0.3">
      <c r="A459" t="s">
        <v>46</v>
      </c>
      <c r="B459" t="s">
        <v>64</v>
      </c>
      <c r="C459" t="s">
        <v>73</v>
      </c>
      <c r="D459">
        <v>36</v>
      </c>
      <c r="E459" t="s">
        <v>11</v>
      </c>
      <c r="F459" t="s">
        <v>12</v>
      </c>
      <c r="G459">
        <v>68</v>
      </c>
      <c r="H459" t="s">
        <v>137</v>
      </c>
      <c r="I459" t="s">
        <v>150</v>
      </c>
      <c r="J459" t="s">
        <v>27</v>
      </c>
      <c r="K459">
        <f>IF(AND(API_Cosevi[[#This Row],[Rol persona]]="Motociclista", OR(API_Cosevi[[#This Row],[Dia]]="Domingo", API_Cosevi[[#This Row],[Dia]]="Sabado")), 1, 0)</f>
        <v>0</v>
      </c>
      <c r="L459">
        <f>IF(AND(API_Cosevi[[#This Row],[Rol persona]]="Motociclista", OR(API_Cosevi[[#This Row],[Edad quinquenal]]="15 A 19", API_Cosevi[[#This Row],[Edad quinquenal]]="10 A 14")), 1, 0)</f>
        <v>0</v>
      </c>
    </row>
    <row r="460" spans="1:12" x14ac:dyDescent="0.3">
      <c r="A460" t="s">
        <v>33</v>
      </c>
      <c r="B460" t="s">
        <v>14</v>
      </c>
      <c r="C460" t="s">
        <v>14</v>
      </c>
      <c r="D460">
        <v>17</v>
      </c>
      <c r="E460" t="s">
        <v>158</v>
      </c>
      <c r="F460" t="s">
        <v>12</v>
      </c>
      <c r="G460">
        <v>48</v>
      </c>
      <c r="H460" t="s">
        <v>137</v>
      </c>
      <c r="I460" t="s">
        <v>150</v>
      </c>
      <c r="J460" t="s">
        <v>19</v>
      </c>
      <c r="K460">
        <f>IF(AND(API_Cosevi[[#This Row],[Rol persona]]="Motociclista", OR(API_Cosevi[[#This Row],[Dia]]="Domingo", API_Cosevi[[#This Row],[Dia]]="Sabado")), 1, 0)</f>
        <v>0</v>
      </c>
      <c r="L460">
        <f>IF(AND(API_Cosevi[[#This Row],[Rol persona]]="Motociclista", OR(API_Cosevi[[#This Row],[Edad quinquenal]]="15 A 19", API_Cosevi[[#This Row],[Edad quinquenal]]="10 A 14")), 1, 0)</f>
        <v>0</v>
      </c>
    </row>
    <row r="461" spans="1:12" x14ac:dyDescent="0.3">
      <c r="A461" t="s">
        <v>8</v>
      </c>
      <c r="B461" t="s">
        <v>29</v>
      </c>
      <c r="C461" t="s">
        <v>105</v>
      </c>
      <c r="D461">
        <v>1</v>
      </c>
      <c r="E461" t="s">
        <v>11</v>
      </c>
      <c r="F461" t="s">
        <v>12</v>
      </c>
      <c r="G461">
        <v>29</v>
      </c>
      <c r="H461" t="s">
        <v>136</v>
      </c>
      <c r="I461" t="s">
        <v>150</v>
      </c>
      <c r="J461" t="s">
        <v>13</v>
      </c>
      <c r="K461">
        <f>IF(AND(API_Cosevi[[#This Row],[Rol persona]]="Motociclista", OR(API_Cosevi[[#This Row],[Dia]]="Domingo", API_Cosevi[[#This Row],[Dia]]="Sabado")), 1, 0)</f>
        <v>0</v>
      </c>
      <c r="L461">
        <f>IF(AND(API_Cosevi[[#This Row],[Rol persona]]="Motociclista", OR(API_Cosevi[[#This Row],[Edad quinquenal]]="15 A 19", API_Cosevi[[#This Row],[Edad quinquenal]]="10 A 14")), 1, 0)</f>
        <v>0</v>
      </c>
    </row>
    <row r="462" spans="1:12" x14ac:dyDescent="0.3">
      <c r="A462" t="s">
        <v>8</v>
      </c>
      <c r="B462" t="s">
        <v>34</v>
      </c>
      <c r="C462" t="s">
        <v>34</v>
      </c>
      <c r="D462" t="s">
        <v>24</v>
      </c>
      <c r="E462" t="s">
        <v>11</v>
      </c>
      <c r="F462" t="s">
        <v>12</v>
      </c>
      <c r="G462">
        <v>53</v>
      </c>
      <c r="H462" t="s">
        <v>135</v>
      </c>
      <c r="I462" t="s">
        <v>150</v>
      </c>
      <c r="J462" t="s">
        <v>60</v>
      </c>
      <c r="K462">
        <f>IF(AND(API_Cosevi[[#This Row],[Rol persona]]="Motociclista", OR(API_Cosevi[[#This Row],[Dia]]="Domingo", API_Cosevi[[#This Row],[Dia]]="Sabado")), 1, 0)</f>
        <v>0</v>
      </c>
      <c r="L462">
        <f>IF(AND(API_Cosevi[[#This Row],[Rol persona]]="Motociclista", OR(API_Cosevi[[#This Row],[Edad quinquenal]]="15 A 19", API_Cosevi[[#This Row],[Edad quinquenal]]="10 A 14")), 1, 0)</f>
        <v>0</v>
      </c>
    </row>
    <row r="463" spans="1:12" x14ac:dyDescent="0.3">
      <c r="A463" t="s">
        <v>33</v>
      </c>
      <c r="B463" t="s">
        <v>14</v>
      </c>
      <c r="C463" t="s">
        <v>45</v>
      </c>
      <c r="D463">
        <v>2</v>
      </c>
      <c r="E463" t="s">
        <v>158</v>
      </c>
      <c r="F463" t="s">
        <v>12</v>
      </c>
      <c r="G463">
        <v>81</v>
      </c>
      <c r="H463" t="s">
        <v>134</v>
      </c>
      <c r="I463" t="s">
        <v>150</v>
      </c>
      <c r="J463" t="s">
        <v>42</v>
      </c>
      <c r="K463">
        <f>IF(AND(API_Cosevi[[#This Row],[Rol persona]]="Motociclista", OR(API_Cosevi[[#This Row],[Dia]]="Domingo", API_Cosevi[[#This Row],[Dia]]="Sabado")), 1, 0)</f>
        <v>0</v>
      </c>
      <c r="L463">
        <f>IF(AND(API_Cosevi[[#This Row],[Rol persona]]="Motociclista", OR(API_Cosevi[[#This Row],[Edad quinquenal]]="15 A 19", API_Cosevi[[#This Row],[Edad quinquenal]]="10 A 14")), 1, 0)</f>
        <v>0</v>
      </c>
    </row>
    <row r="464" spans="1:12" x14ac:dyDescent="0.3">
      <c r="A464" t="s">
        <v>33</v>
      </c>
      <c r="B464" t="s">
        <v>34</v>
      </c>
      <c r="C464" t="s">
        <v>78</v>
      </c>
      <c r="D464">
        <v>27</v>
      </c>
      <c r="E464" t="s">
        <v>158</v>
      </c>
      <c r="F464" t="s">
        <v>12</v>
      </c>
      <c r="G464">
        <v>47</v>
      </c>
      <c r="H464" t="s">
        <v>134</v>
      </c>
      <c r="I464" t="s">
        <v>150</v>
      </c>
      <c r="J464" t="s">
        <v>19</v>
      </c>
      <c r="K464">
        <f>IF(AND(API_Cosevi[[#This Row],[Rol persona]]="Motociclista", OR(API_Cosevi[[#This Row],[Dia]]="Domingo", API_Cosevi[[#This Row],[Dia]]="Sabado")), 1, 0)</f>
        <v>0</v>
      </c>
      <c r="L464">
        <f>IF(AND(API_Cosevi[[#This Row],[Rol persona]]="Motociclista", OR(API_Cosevi[[#This Row],[Edad quinquenal]]="15 A 19", API_Cosevi[[#This Row],[Edad quinquenal]]="10 A 14")), 1, 0)</f>
        <v>0</v>
      </c>
    </row>
    <row r="465" spans="1:12" x14ac:dyDescent="0.3">
      <c r="A465" t="s">
        <v>87</v>
      </c>
      <c r="B465" t="s">
        <v>14</v>
      </c>
      <c r="C465" t="s">
        <v>41</v>
      </c>
      <c r="D465">
        <v>34</v>
      </c>
      <c r="E465" t="s">
        <v>16</v>
      </c>
      <c r="F465" t="s">
        <v>35</v>
      </c>
      <c r="G465">
        <v>28</v>
      </c>
      <c r="H465" t="s">
        <v>133</v>
      </c>
      <c r="I465" t="s">
        <v>150</v>
      </c>
      <c r="J465" t="s">
        <v>13</v>
      </c>
      <c r="K465">
        <f>IF(AND(API_Cosevi[[#This Row],[Rol persona]]="Motociclista", OR(API_Cosevi[[#This Row],[Dia]]="Domingo", API_Cosevi[[#This Row],[Dia]]="Sabado")), 1, 0)</f>
        <v>0</v>
      </c>
      <c r="L465">
        <f>IF(AND(API_Cosevi[[#This Row],[Rol persona]]="Motociclista", OR(API_Cosevi[[#This Row],[Edad quinquenal]]="15 A 19", API_Cosevi[[#This Row],[Edad quinquenal]]="10 A 14")), 1, 0)</f>
        <v>0</v>
      </c>
    </row>
    <row r="466" spans="1:12" x14ac:dyDescent="0.3">
      <c r="A466" t="s">
        <v>33</v>
      </c>
      <c r="B466" t="s">
        <v>29</v>
      </c>
      <c r="C466" t="s">
        <v>29</v>
      </c>
      <c r="D466" t="s">
        <v>24</v>
      </c>
      <c r="E466" t="s">
        <v>158</v>
      </c>
      <c r="F466" t="s">
        <v>12</v>
      </c>
      <c r="G466">
        <v>71</v>
      </c>
      <c r="H466" t="s">
        <v>133</v>
      </c>
      <c r="I466" t="s">
        <v>150</v>
      </c>
      <c r="J466" t="s">
        <v>94</v>
      </c>
      <c r="K466">
        <f>IF(AND(API_Cosevi[[#This Row],[Rol persona]]="Motociclista", OR(API_Cosevi[[#This Row],[Dia]]="Domingo", API_Cosevi[[#This Row],[Dia]]="Sabado")), 1, 0)</f>
        <v>0</v>
      </c>
      <c r="L466">
        <f>IF(AND(API_Cosevi[[#This Row],[Rol persona]]="Motociclista", OR(API_Cosevi[[#This Row],[Edad quinquenal]]="15 A 19", API_Cosevi[[#This Row],[Edad quinquenal]]="10 A 14")), 1, 0)</f>
        <v>0</v>
      </c>
    </row>
    <row r="467" spans="1:12" x14ac:dyDescent="0.3">
      <c r="A467" t="s">
        <v>87</v>
      </c>
      <c r="B467" t="s">
        <v>34</v>
      </c>
      <c r="C467" t="s">
        <v>111</v>
      </c>
      <c r="D467">
        <v>32</v>
      </c>
      <c r="E467" t="s">
        <v>25</v>
      </c>
      <c r="F467" t="s">
        <v>12</v>
      </c>
      <c r="G467">
        <v>56</v>
      </c>
      <c r="H467" t="s">
        <v>133</v>
      </c>
      <c r="I467" t="s">
        <v>150</v>
      </c>
      <c r="J467" t="s">
        <v>36</v>
      </c>
      <c r="K467">
        <f>IF(AND(API_Cosevi[[#This Row],[Rol persona]]="Motociclista", OR(API_Cosevi[[#This Row],[Dia]]="Domingo", API_Cosevi[[#This Row],[Dia]]="Sabado")), 1, 0)</f>
        <v>0</v>
      </c>
      <c r="L467">
        <f>IF(AND(API_Cosevi[[#This Row],[Rol persona]]="Motociclista", OR(API_Cosevi[[#This Row],[Edad quinquenal]]="15 A 19", API_Cosevi[[#This Row],[Edad quinquenal]]="10 A 14")), 1, 0)</f>
        <v>0</v>
      </c>
    </row>
    <row r="468" spans="1:12" x14ac:dyDescent="0.3">
      <c r="A468" t="s">
        <v>8</v>
      </c>
      <c r="B468" t="s">
        <v>34</v>
      </c>
      <c r="C468" t="s">
        <v>79</v>
      </c>
      <c r="D468" t="s">
        <v>24</v>
      </c>
      <c r="E468" t="s">
        <v>25</v>
      </c>
      <c r="F468" t="s">
        <v>12</v>
      </c>
      <c r="G468">
        <v>25</v>
      </c>
      <c r="H468" t="s">
        <v>133</v>
      </c>
      <c r="I468" t="s">
        <v>150</v>
      </c>
      <c r="J468" t="s">
        <v>13</v>
      </c>
      <c r="K468">
        <f>IF(AND(API_Cosevi[[#This Row],[Rol persona]]="Motociclista", OR(API_Cosevi[[#This Row],[Dia]]="Domingo", API_Cosevi[[#This Row],[Dia]]="Sabado")), 1, 0)</f>
        <v>0</v>
      </c>
      <c r="L468">
        <f>IF(AND(API_Cosevi[[#This Row],[Rol persona]]="Motociclista", OR(API_Cosevi[[#This Row],[Edad quinquenal]]="15 A 19", API_Cosevi[[#This Row],[Edad quinquenal]]="10 A 14")), 1, 0)</f>
        <v>0</v>
      </c>
    </row>
    <row r="469" spans="1:12" x14ac:dyDescent="0.3">
      <c r="A469" t="s">
        <v>8</v>
      </c>
      <c r="B469" t="s">
        <v>34</v>
      </c>
      <c r="C469" t="s">
        <v>78</v>
      </c>
      <c r="D469" t="s">
        <v>24</v>
      </c>
      <c r="E469" t="s">
        <v>62</v>
      </c>
      <c r="F469" t="s">
        <v>35</v>
      </c>
      <c r="G469">
        <v>20</v>
      </c>
      <c r="H469" t="s">
        <v>133</v>
      </c>
      <c r="I469" t="s">
        <v>150</v>
      </c>
      <c r="J469" t="s">
        <v>17</v>
      </c>
      <c r="K469">
        <f>IF(AND(API_Cosevi[[#This Row],[Rol persona]]="Motociclista", OR(API_Cosevi[[#This Row],[Dia]]="Domingo", API_Cosevi[[#This Row],[Dia]]="Sabado")), 1, 0)</f>
        <v>0</v>
      </c>
      <c r="L469">
        <f>IF(AND(API_Cosevi[[#This Row],[Rol persona]]="Motociclista", OR(API_Cosevi[[#This Row],[Edad quinquenal]]="15 A 19", API_Cosevi[[#This Row],[Edad quinquenal]]="10 A 14")), 1, 0)</f>
        <v>0</v>
      </c>
    </row>
    <row r="470" spans="1:12" x14ac:dyDescent="0.3">
      <c r="A470" t="s">
        <v>8</v>
      </c>
      <c r="B470" t="s">
        <v>14</v>
      </c>
      <c r="C470" t="s">
        <v>61</v>
      </c>
      <c r="D470">
        <v>34</v>
      </c>
      <c r="E470" t="s">
        <v>11</v>
      </c>
      <c r="F470" t="s">
        <v>12</v>
      </c>
      <c r="G470" t="s">
        <v>68</v>
      </c>
      <c r="H470" t="s">
        <v>132</v>
      </c>
      <c r="I470" t="s">
        <v>150</v>
      </c>
      <c r="J470" t="s">
        <v>68</v>
      </c>
      <c r="K470">
        <f>IF(AND(API_Cosevi[[#This Row],[Rol persona]]="Motociclista", OR(API_Cosevi[[#This Row],[Dia]]="Domingo", API_Cosevi[[#This Row],[Dia]]="Sabado")), 1, 0)</f>
        <v>1</v>
      </c>
      <c r="L470">
        <f>IF(AND(API_Cosevi[[#This Row],[Rol persona]]="Motociclista", OR(API_Cosevi[[#This Row],[Edad quinquenal]]="15 A 19", API_Cosevi[[#This Row],[Edad quinquenal]]="10 A 14")), 1, 0)</f>
        <v>0</v>
      </c>
    </row>
    <row r="471" spans="1:12" x14ac:dyDescent="0.3">
      <c r="A471" t="s">
        <v>22</v>
      </c>
      <c r="B471" t="s">
        <v>29</v>
      </c>
      <c r="C471" t="s">
        <v>127</v>
      </c>
      <c r="D471" t="s">
        <v>24</v>
      </c>
      <c r="E471" t="s">
        <v>25</v>
      </c>
      <c r="F471" t="s">
        <v>12</v>
      </c>
      <c r="G471">
        <v>70</v>
      </c>
      <c r="H471" t="s">
        <v>132</v>
      </c>
      <c r="I471" t="s">
        <v>150</v>
      </c>
      <c r="J471" t="s">
        <v>94</v>
      </c>
      <c r="K471">
        <f>IF(AND(API_Cosevi[[#This Row],[Rol persona]]="Motociclista", OR(API_Cosevi[[#This Row],[Dia]]="Domingo", API_Cosevi[[#This Row],[Dia]]="Sabado")), 1, 0)</f>
        <v>0</v>
      </c>
      <c r="L471">
        <f>IF(AND(API_Cosevi[[#This Row],[Rol persona]]="Motociclista", OR(API_Cosevi[[#This Row],[Edad quinquenal]]="15 A 19", API_Cosevi[[#This Row],[Edad quinquenal]]="10 A 14")), 1, 0)</f>
        <v>0</v>
      </c>
    </row>
    <row r="472" spans="1:12" x14ac:dyDescent="0.3">
      <c r="A472" t="s">
        <v>8</v>
      </c>
      <c r="B472" t="s">
        <v>14</v>
      </c>
      <c r="C472" t="s">
        <v>15</v>
      </c>
      <c r="D472">
        <v>34</v>
      </c>
      <c r="E472" t="s">
        <v>11</v>
      </c>
      <c r="F472" t="s">
        <v>12</v>
      </c>
      <c r="G472">
        <v>60</v>
      </c>
      <c r="H472" t="s">
        <v>138</v>
      </c>
      <c r="I472" t="s">
        <v>150</v>
      </c>
      <c r="J472" t="s">
        <v>49</v>
      </c>
      <c r="K472">
        <f>IF(AND(API_Cosevi[[#This Row],[Rol persona]]="Motociclista", OR(API_Cosevi[[#This Row],[Dia]]="Domingo", API_Cosevi[[#This Row],[Dia]]="Sabado")), 1, 0)</f>
        <v>1</v>
      </c>
      <c r="L472">
        <f>IF(AND(API_Cosevi[[#This Row],[Rol persona]]="Motociclista", OR(API_Cosevi[[#This Row],[Edad quinquenal]]="15 A 19", API_Cosevi[[#This Row],[Edad quinquenal]]="10 A 14")), 1, 0)</f>
        <v>0</v>
      </c>
    </row>
    <row r="473" spans="1:12" x14ac:dyDescent="0.3">
      <c r="A473" t="s">
        <v>33</v>
      </c>
      <c r="B473" t="s">
        <v>14</v>
      </c>
      <c r="C473" t="s">
        <v>71</v>
      </c>
      <c r="D473">
        <v>1</v>
      </c>
      <c r="E473" t="s">
        <v>158</v>
      </c>
      <c r="F473" t="s">
        <v>12</v>
      </c>
      <c r="G473">
        <v>61</v>
      </c>
      <c r="H473" t="s">
        <v>138</v>
      </c>
      <c r="I473" t="s">
        <v>150</v>
      </c>
      <c r="J473" t="s">
        <v>49</v>
      </c>
      <c r="K473">
        <f>IF(AND(API_Cosevi[[#This Row],[Rol persona]]="Motociclista", OR(API_Cosevi[[#This Row],[Dia]]="Domingo", API_Cosevi[[#This Row],[Dia]]="Sabado")), 1, 0)</f>
        <v>0</v>
      </c>
      <c r="L473">
        <f>IF(AND(API_Cosevi[[#This Row],[Rol persona]]="Motociclista", OR(API_Cosevi[[#This Row],[Edad quinquenal]]="15 A 19", API_Cosevi[[#This Row],[Edad quinquenal]]="10 A 14")), 1, 0)</f>
        <v>0</v>
      </c>
    </row>
    <row r="474" spans="1:12" x14ac:dyDescent="0.3">
      <c r="A474" t="s">
        <v>8</v>
      </c>
      <c r="B474" t="s">
        <v>64</v>
      </c>
      <c r="C474" t="s">
        <v>64</v>
      </c>
      <c r="D474">
        <v>32</v>
      </c>
      <c r="E474" t="s">
        <v>11</v>
      </c>
      <c r="F474" t="s">
        <v>12</v>
      </c>
      <c r="G474">
        <v>19</v>
      </c>
      <c r="H474" t="s">
        <v>138</v>
      </c>
      <c r="I474" t="s">
        <v>150</v>
      </c>
      <c r="J474" t="s">
        <v>31</v>
      </c>
      <c r="K474">
        <f>IF(AND(API_Cosevi[[#This Row],[Rol persona]]="Motociclista", OR(API_Cosevi[[#This Row],[Dia]]="Domingo", API_Cosevi[[#This Row],[Dia]]="Sabado")), 1, 0)</f>
        <v>1</v>
      </c>
      <c r="L474">
        <f>IF(AND(API_Cosevi[[#This Row],[Rol persona]]="Motociclista", OR(API_Cosevi[[#This Row],[Edad quinquenal]]="15 A 19", API_Cosevi[[#This Row],[Edad quinquenal]]="10 A 14")), 1, 0)</f>
        <v>1</v>
      </c>
    </row>
    <row r="475" spans="1:12" x14ac:dyDescent="0.3">
      <c r="A475" t="s">
        <v>8</v>
      </c>
      <c r="B475" t="s">
        <v>29</v>
      </c>
      <c r="C475" t="s">
        <v>29</v>
      </c>
      <c r="D475">
        <v>1</v>
      </c>
      <c r="E475" t="s">
        <v>11</v>
      </c>
      <c r="F475" t="s">
        <v>12</v>
      </c>
      <c r="G475">
        <v>34</v>
      </c>
      <c r="H475" t="s">
        <v>137</v>
      </c>
      <c r="I475" t="s">
        <v>150</v>
      </c>
      <c r="J475" t="s">
        <v>21</v>
      </c>
      <c r="K475">
        <f>IF(AND(API_Cosevi[[#This Row],[Rol persona]]="Motociclista", OR(API_Cosevi[[#This Row],[Dia]]="Domingo", API_Cosevi[[#This Row],[Dia]]="Sabado")), 1, 0)</f>
        <v>0</v>
      </c>
      <c r="L475">
        <f>IF(AND(API_Cosevi[[#This Row],[Rol persona]]="Motociclista", OR(API_Cosevi[[#This Row],[Edad quinquenal]]="15 A 19", API_Cosevi[[#This Row],[Edad quinquenal]]="10 A 14")), 1, 0)</f>
        <v>0</v>
      </c>
    </row>
    <row r="476" spans="1:12" x14ac:dyDescent="0.3">
      <c r="A476" t="s">
        <v>8</v>
      </c>
      <c r="B476" t="s">
        <v>29</v>
      </c>
      <c r="C476" t="s">
        <v>48</v>
      </c>
      <c r="D476">
        <v>250</v>
      </c>
      <c r="E476" t="s">
        <v>11</v>
      </c>
      <c r="F476" t="s">
        <v>12</v>
      </c>
      <c r="G476">
        <v>43</v>
      </c>
      <c r="H476" t="s">
        <v>137</v>
      </c>
      <c r="I476" t="s">
        <v>150</v>
      </c>
      <c r="J476" t="s">
        <v>28</v>
      </c>
      <c r="K476">
        <f>IF(AND(API_Cosevi[[#This Row],[Rol persona]]="Motociclista", OR(API_Cosevi[[#This Row],[Dia]]="Domingo", API_Cosevi[[#This Row],[Dia]]="Sabado")), 1, 0)</f>
        <v>0</v>
      </c>
      <c r="L476">
        <f>IF(AND(API_Cosevi[[#This Row],[Rol persona]]="Motociclista", OR(API_Cosevi[[#This Row],[Edad quinquenal]]="15 A 19", API_Cosevi[[#This Row],[Edad quinquenal]]="10 A 14")), 1, 0)</f>
        <v>0</v>
      </c>
    </row>
    <row r="477" spans="1:12" x14ac:dyDescent="0.3">
      <c r="A477" t="s">
        <v>22</v>
      </c>
      <c r="B477" t="s">
        <v>14</v>
      </c>
      <c r="C477" t="s">
        <v>66</v>
      </c>
      <c r="D477" t="s">
        <v>24</v>
      </c>
      <c r="E477" t="s">
        <v>25</v>
      </c>
      <c r="F477" t="s">
        <v>12</v>
      </c>
      <c r="G477">
        <v>43</v>
      </c>
      <c r="H477" t="s">
        <v>136</v>
      </c>
      <c r="I477" t="s">
        <v>150</v>
      </c>
      <c r="J477" t="s">
        <v>28</v>
      </c>
      <c r="K477">
        <f>IF(AND(API_Cosevi[[#This Row],[Rol persona]]="Motociclista", OR(API_Cosevi[[#This Row],[Dia]]="Domingo", API_Cosevi[[#This Row],[Dia]]="Sabado")), 1, 0)</f>
        <v>0</v>
      </c>
      <c r="L477">
        <f>IF(AND(API_Cosevi[[#This Row],[Rol persona]]="Motociclista", OR(API_Cosevi[[#This Row],[Edad quinquenal]]="15 A 19", API_Cosevi[[#This Row],[Edad quinquenal]]="10 A 14")), 1, 0)</f>
        <v>0</v>
      </c>
    </row>
    <row r="478" spans="1:12" x14ac:dyDescent="0.3">
      <c r="A478" t="s">
        <v>8</v>
      </c>
      <c r="B478" t="s">
        <v>29</v>
      </c>
      <c r="C478" t="s">
        <v>48</v>
      </c>
      <c r="D478">
        <v>4</v>
      </c>
      <c r="E478" t="s">
        <v>11</v>
      </c>
      <c r="F478" t="s">
        <v>12</v>
      </c>
      <c r="G478">
        <v>55</v>
      </c>
      <c r="H478" t="s">
        <v>135</v>
      </c>
      <c r="I478" t="s">
        <v>150</v>
      </c>
      <c r="J478" t="s">
        <v>36</v>
      </c>
      <c r="K478">
        <f>IF(AND(API_Cosevi[[#This Row],[Rol persona]]="Motociclista", OR(API_Cosevi[[#This Row],[Dia]]="Domingo", API_Cosevi[[#This Row],[Dia]]="Sabado")), 1, 0)</f>
        <v>0</v>
      </c>
      <c r="L478">
        <f>IF(AND(API_Cosevi[[#This Row],[Rol persona]]="Motociclista", OR(API_Cosevi[[#This Row],[Edad quinquenal]]="15 A 19", API_Cosevi[[#This Row],[Edad quinquenal]]="10 A 14")), 1, 0)</f>
        <v>0</v>
      </c>
    </row>
    <row r="479" spans="1:12" x14ac:dyDescent="0.3">
      <c r="A479" t="s">
        <v>8</v>
      </c>
      <c r="B479" t="s">
        <v>29</v>
      </c>
      <c r="C479" t="s">
        <v>29</v>
      </c>
      <c r="D479">
        <v>153</v>
      </c>
      <c r="E479" t="s">
        <v>11</v>
      </c>
      <c r="F479" t="s">
        <v>12</v>
      </c>
      <c r="G479">
        <v>62</v>
      </c>
      <c r="H479" t="s">
        <v>135</v>
      </c>
      <c r="I479" t="s">
        <v>150</v>
      </c>
      <c r="J479" t="s">
        <v>49</v>
      </c>
      <c r="K479">
        <f>IF(AND(API_Cosevi[[#This Row],[Rol persona]]="Motociclista", OR(API_Cosevi[[#This Row],[Dia]]="Domingo", API_Cosevi[[#This Row],[Dia]]="Sabado")), 1, 0)</f>
        <v>0</v>
      </c>
      <c r="L479">
        <f>IF(AND(API_Cosevi[[#This Row],[Rol persona]]="Motociclista", OR(API_Cosevi[[#This Row],[Edad quinquenal]]="15 A 19", API_Cosevi[[#This Row],[Edad quinquenal]]="10 A 14")), 1, 0)</f>
        <v>0</v>
      </c>
    </row>
    <row r="480" spans="1:12" x14ac:dyDescent="0.3">
      <c r="A480" t="s">
        <v>46</v>
      </c>
      <c r="B480" t="s">
        <v>9</v>
      </c>
      <c r="C480" t="s">
        <v>23</v>
      </c>
      <c r="D480" t="s">
        <v>24</v>
      </c>
      <c r="E480" t="s">
        <v>25</v>
      </c>
      <c r="F480" t="s">
        <v>12</v>
      </c>
      <c r="G480">
        <v>60</v>
      </c>
      <c r="H480" t="s">
        <v>135</v>
      </c>
      <c r="I480" t="s">
        <v>150</v>
      </c>
      <c r="J480" t="s">
        <v>49</v>
      </c>
      <c r="K480">
        <f>IF(AND(API_Cosevi[[#This Row],[Rol persona]]="Motociclista", OR(API_Cosevi[[#This Row],[Dia]]="Domingo", API_Cosevi[[#This Row],[Dia]]="Sabado")), 1, 0)</f>
        <v>0</v>
      </c>
      <c r="L480">
        <f>IF(AND(API_Cosevi[[#This Row],[Rol persona]]="Motociclista", OR(API_Cosevi[[#This Row],[Edad quinquenal]]="15 A 19", API_Cosevi[[#This Row],[Edad quinquenal]]="10 A 14")), 1, 0)</f>
        <v>0</v>
      </c>
    </row>
    <row r="481" spans="1:12" x14ac:dyDescent="0.3">
      <c r="A481" t="s">
        <v>8</v>
      </c>
      <c r="B481" t="s">
        <v>64</v>
      </c>
      <c r="C481" t="s">
        <v>64</v>
      </c>
      <c r="D481">
        <v>234</v>
      </c>
      <c r="E481" t="s">
        <v>11</v>
      </c>
      <c r="F481" t="s">
        <v>12</v>
      </c>
      <c r="G481">
        <v>22</v>
      </c>
      <c r="H481" t="s">
        <v>135</v>
      </c>
      <c r="I481" t="s">
        <v>150</v>
      </c>
      <c r="J481" t="s">
        <v>17</v>
      </c>
      <c r="K481">
        <f>IF(AND(API_Cosevi[[#This Row],[Rol persona]]="Motociclista", OR(API_Cosevi[[#This Row],[Dia]]="Domingo", API_Cosevi[[#This Row],[Dia]]="Sabado")), 1, 0)</f>
        <v>0</v>
      </c>
      <c r="L481">
        <f>IF(AND(API_Cosevi[[#This Row],[Rol persona]]="Motociclista", OR(API_Cosevi[[#This Row],[Edad quinquenal]]="15 A 19", API_Cosevi[[#This Row],[Edad quinquenal]]="10 A 14")), 1, 0)</f>
        <v>0</v>
      </c>
    </row>
    <row r="482" spans="1:12" x14ac:dyDescent="0.3">
      <c r="A482" t="s">
        <v>91</v>
      </c>
      <c r="B482" t="s">
        <v>34</v>
      </c>
      <c r="C482" t="s">
        <v>59</v>
      </c>
      <c r="D482" t="s">
        <v>24</v>
      </c>
      <c r="E482" t="s">
        <v>11</v>
      </c>
      <c r="F482" t="s">
        <v>35</v>
      </c>
      <c r="G482">
        <v>25</v>
      </c>
      <c r="H482" t="s">
        <v>135</v>
      </c>
      <c r="I482" t="s">
        <v>150</v>
      </c>
      <c r="J482" t="s">
        <v>13</v>
      </c>
      <c r="K482">
        <f>IF(AND(API_Cosevi[[#This Row],[Rol persona]]="Motociclista", OR(API_Cosevi[[#This Row],[Dia]]="Domingo", API_Cosevi[[#This Row],[Dia]]="Sabado")), 1, 0)</f>
        <v>0</v>
      </c>
      <c r="L482">
        <f>IF(AND(API_Cosevi[[#This Row],[Rol persona]]="Motociclista", OR(API_Cosevi[[#This Row],[Edad quinquenal]]="15 A 19", API_Cosevi[[#This Row],[Edad quinquenal]]="10 A 14")), 1, 0)</f>
        <v>0</v>
      </c>
    </row>
    <row r="483" spans="1:12" x14ac:dyDescent="0.3">
      <c r="A483" t="s">
        <v>8</v>
      </c>
      <c r="B483" t="s">
        <v>34</v>
      </c>
      <c r="C483" t="s">
        <v>84</v>
      </c>
      <c r="D483">
        <v>2</v>
      </c>
      <c r="E483" t="s">
        <v>11</v>
      </c>
      <c r="F483" t="s">
        <v>12</v>
      </c>
      <c r="G483">
        <v>34</v>
      </c>
      <c r="H483" t="s">
        <v>134</v>
      </c>
      <c r="I483" t="s">
        <v>150</v>
      </c>
      <c r="J483" t="s">
        <v>21</v>
      </c>
      <c r="K483">
        <f>IF(AND(API_Cosevi[[#This Row],[Rol persona]]="Motociclista", OR(API_Cosevi[[#This Row],[Dia]]="Domingo", API_Cosevi[[#This Row],[Dia]]="Sabado")), 1, 0)</f>
        <v>0</v>
      </c>
      <c r="L483">
        <f>IF(AND(API_Cosevi[[#This Row],[Rol persona]]="Motociclista", OR(API_Cosevi[[#This Row],[Edad quinquenal]]="15 A 19", API_Cosevi[[#This Row],[Edad quinquenal]]="10 A 14")), 1, 0)</f>
        <v>0</v>
      </c>
    </row>
    <row r="484" spans="1:12" x14ac:dyDescent="0.3">
      <c r="A484" t="s">
        <v>22</v>
      </c>
      <c r="B484" t="s">
        <v>14</v>
      </c>
      <c r="C484" t="s">
        <v>66</v>
      </c>
      <c r="D484">
        <v>245</v>
      </c>
      <c r="E484" t="s">
        <v>11</v>
      </c>
      <c r="F484" t="s">
        <v>12</v>
      </c>
      <c r="G484">
        <v>31</v>
      </c>
      <c r="H484" t="s">
        <v>133</v>
      </c>
      <c r="I484" t="s">
        <v>150</v>
      </c>
      <c r="J484" t="s">
        <v>21</v>
      </c>
      <c r="K484">
        <f>IF(AND(API_Cosevi[[#This Row],[Rol persona]]="Motociclista", OR(API_Cosevi[[#This Row],[Dia]]="Domingo", API_Cosevi[[#This Row],[Dia]]="Sabado")), 1, 0)</f>
        <v>0</v>
      </c>
      <c r="L484">
        <f>IF(AND(API_Cosevi[[#This Row],[Rol persona]]="Motociclista", OR(API_Cosevi[[#This Row],[Edad quinquenal]]="15 A 19", API_Cosevi[[#This Row],[Edad quinquenal]]="10 A 14")), 1, 0)</f>
        <v>0</v>
      </c>
    </row>
    <row r="485" spans="1:12" x14ac:dyDescent="0.3">
      <c r="A485" t="s">
        <v>8</v>
      </c>
      <c r="B485" t="s">
        <v>34</v>
      </c>
      <c r="C485" t="s">
        <v>79</v>
      </c>
      <c r="D485" t="s">
        <v>24</v>
      </c>
      <c r="E485" t="s">
        <v>11</v>
      </c>
      <c r="F485" t="s">
        <v>12</v>
      </c>
      <c r="G485">
        <v>26</v>
      </c>
      <c r="H485" t="s">
        <v>132</v>
      </c>
      <c r="I485" t="s">
        <v>150</v>
      </c>
      <c r="J485" t="s">
        <v>13</v>
      </c>
      <c r="K485">
        <f>IF(AND(API_Cosevi[[#This Row],[Rol persona]]="Motociclista", OR(API_Cosevi[[#This Row],[Dia]]="Domingo", API_Cosevi[[#This Row],[Dia]]="Sabado")), 1, 0)</f>
        <v>1</v>
      </c>
      <c r="L485">
        <f>IF(AND(API_Cosevi[[#This Row],[Rol persona]]="Motociclista", OR(API_Cosevi[[#This Row],[Edad quinquenal]]="15 A 19", API_Cosevi[[#This Row],[Edad quinquenal]]="10 A 14")), 1, 0)</f>
        <v>0</v>
      </c>
    </row>
    <row r="486" spans="1:12" x14ac:dyDescent="0.3">
      <c r="A486" t="s">
        <v>33</v>
      </c>
      <c r="B486" t="s">
        <v>64</v>
      </c>
      <c r="C486" t="s">
        <v>120</v>
      </c>
      <c r="D486" t="s">
        <v>24</v>
      </c>
      <c r="E486" t="s">
        <v>62</v>
      </c>
      <c r="F486" t="s">
        <v>35</v>
      </c>
      <c r="G486">
        <v>19</v>
      </c>
      <c r="H486" t="s">
        <v>132</v>
      </c>
      <c r="I486" t="s">
        <v>150</v>
      </c>
      <c r="J486" t="s">
        <v>31</v>
      </c>
      <c r="K486">
        <f>IF(AND(API_Cosevi[[#This Row],[Rol persona]]="Motociclista", OR(API_Cosevi[[#This Row],[Dia]]="Domingo", API_Cosevi[[#This Row],[Dia]]="Sabado")), 1, 0)</f>
        <v>0</v>
      </c>
      <c r="L486">
        <f>IF(AND(API_Cosevi[[#This Row],[Rol persona]]="Motociclista", OR(API_Cosevi[[#This Row],[Edad quinquenal]]="15 A 19", API_Cosevi[[#This Row],[Edad quinquenal]]="10 A 14")), 1, 0)</f>
        <v>0</v>
      </c>
    </row>
    <row r="487" spans="1:12" x14ac:dyDescent="0.3">
      <c r="A487" t="s">
        <v>8</v>
      </c>
      <c r="B487" t="s">
        <v>14</v>
      </c>
      <c r="C487" t="s">
        <v>18</v>
      </c>
      <c r="D487">
        <v>34</v>
      </c>
      <c r="E487" t="s">
        <v>11</v>
      </c>
      <c r="F487" t="s">
        <v>35</v>
      </c>
      <c r="G487">
        <v>35</v>
      </c>
      <c r="H487" t="s">
        <v>132</v>
      </c>
      <c r="I487" t="s">
        <v>150</v>
      </c>
      <c r="J487" t="s">
        <v>32</v>
      </c>
      <c r="K487">
        <f>IF(AND(API_Cosevi[[#This Row],[Rol persona]]="Motociclista", OR(API_Cosevi[[#This Row],[Dia]]="Domingo", API_Cosevi[[#This Row],[Dia]]="Sabado")), 1, 0)</f>
        <v>1</v>
      </c>
      <c r="L487">
        <f>IF(AND(API_Cosevi[[#This Row],[Rol persona]]="Motociclista", OR(API_Cosevi[[#This Row],[Edad quinquenal]]="15 A 19", API_Cosevi[[#This Row],[Edad quinquenal]]="10 A 14")), 1, 0)</f>
        <v>0</v>
      </c>
    </row>
    <row r="488" spans="1:12" x14ac:dyDescent="0.3">
      <c r="A488" t="s">
        <v>8</v>
      </c>
      <c r="B488" t="s">
        <v>14</v>
      </c>
      <c r="C488" t="s">
        <v>88</v>
      </c>
      <c r="D488">
        <v>2</v>
      </c>
      <c r="E488" t="s">
        <v>25</v>
      </c>
      <c r="F488" t="s">
        <v>12</v>
      </c>
      <c r="G488">
        <v>61</v>
      </c>
      <c r="H488" t="s">
        <v>138</v>
      </c>
      <c r="I488" t="s">
        <v>150</v>
      </c>
      <c r="J488" t="s">
        <v>49</v>
      </c>
      <c r="K488">
        <f>IF(AND(API_Cosevi[[#This Row],[Rol persona]]="Motociclista", OR(API_Cosevi[[#This Row],[Dia]]="Domingo", API_Cosevi[[#This Row],[Dia]]="Sabado")), 1, 0)</f>
        <v>0</v>
      </c>
      <c r="L488">
        <f>IF(AND(API_Cosevi[[#This Row],[Rol persona]]="Motociclista", OR(API_Cosevi[[#This Row],[Edad quinquenal]]="15 A 19", API_Cosevi[[#This Row],[Edad quinquenal]]="10 A 14")), 1, 0)</f>
        <v>0</v>
      </c>
    </row>
    <row r="489" spans="1:12" x14ac:dyDescent="0.3">
      <c r="A489" t="s">
        <v>46</v>
      </c>
      <c r="B489" t="s">
        <v>14</v>
      </c>
      <c r="C489" t="s">
        <v>90</v>
      </c>
      <c r="D489" t="s">
        <v>24</v>
      </c>
      <c r="E489" t="s">
        <v>16</v>
      </c>
      <c r="F489" t="s">
        <v>35</v>
      </c>
      <c r="G489">
        <v>70</v>
      </c>
      <c r="H489" t="s">
        <v>138</v>
      </c>
      <c r="I489" t="s">
        <v>150</v>
      </c>
      <c r="J489" t="s">
        <v>94</v>
      </c>
      <c r="K489">
        <f>IF(AND(API_Cosevi[[#This Row],[Rol persona]]="Motociclista", OR(API_Cosevi[[#This Row],[Dia]]="Domingo", API_Cosevi[[#This Row],[Dia]]="Sabado")), 1, 0)</f>
        <v>0</v>
      </c>
      <c r="L489">
        <f>IF(AND(API_Cosevi[[#This Row],[Rol persona]]="Motociclista", OR(API_Cosevi[[#This Row],[Edad quinquenal]]="15 A 19", API_Cosevi[[#This Row],[Edad quinquenal]]="10 A 14")), 1, 0)</f>
        <v>0</v>
      </c>
    </row>
    <row r="490" spans="1:12" x14ac:dyDescent="0.3">
      <c r="A490" t="s">
        <v>46</v>
      </c>
      <c r="B490" t="s">
        <v>14</v>
      </c>
      <c r="C490" t="s">
        <v>71</v>
      </c>
      <c r="D490" t="s">
        <v>24</v>
      </c>
      <c r="E490" t="s">
        <v>11</v>
      </c>
      <c r="F490" t="s">
        <v>12</v>
      </c>
      <c r="G490">
        <v>25</v>
      </c>
      <c r="H490" t="s">
        <v>138</v>
      </c>
      <c r="I490" t="s">
        <v>150</v>
      </c>
      <c r="J490" t="s">
        <v>13</v>
      </c>
      <c r="K490">
        <f>IF(AND(API_Cosevi[[#This Row],[Rol persona]]="Motociclista", OR(API_Cosevi[[#This Row],[Dia]]="Domingo", API_Cosevi[[#This Row],[Dia]]="Sabado")), 1, 0)</f>
        <v>1</v>
      </c>
      <c r="L490">
        <f>IF(AND(API_Cosevi[[#This Row],[Rol persona]]="Motociclista", OR(API_Cosevi[[#This Row],[Edad quinquenal]]="15 A 19", API_Cosevi[[#This Row],[Edad quinquenal]]="10 A 14")), 1, 0)</f>
        <v>0</v>
      </c>
    </row>
    <row r="491" spans="1:12" x14ac:dyDescent="0.3">
      <c r="A491" t="s">
        <v>46</v>
      </c>
      <c r="B491" t="s">
        <v>14</v>
      </c>
      <c r="C491" t="s">
        <v>71</v>
      </c>
      <c r="D491" t="s">
        <v>24</v>
      </c>
      <c r="E491" t="s">
        <v>11</v>
      </c>
      <c r="F491" t="s">
        <v>12</v>
      </c>
      <c r="G491">
        <v>31</v>
      </c>
      <c r="H491" t="s">
        <v>137</v>
      </c>
      <c r="I491" t="s">
        <v>150</v>
      </c>
      <c r="J491" t="s">
        <v>21</v>
      </c>
      <c r="K491">
        <f>IF(AND(API_Cosevi[[#This Row],[Rol persona]]="Motociclista", OR(API_Cosevi[[#This Row],[Dia]]="Domingo", API_Cosevi[[#This Row],[Dia]]="Sabado")), 1, 0)</f>
        <v>0</v>
      </c>
      <c r="L491">
        <f>IF(AND(API_Cosevi[[#This Row],[Rol persona]]="Motociclista", OR(API_Cosevi[[#This Row],[Edad quinquenal]]="15 A 19", API_Cosevi[[#This Row],[Edad quinquenal]]="10 A 14")), 1, 0)</f>
        <v>0</v>
      </c>
    </row>
    <row r="492" spans="1:12" x14ac:dyDescent="0.3">
      <c r="A492" t="s">
        <v>22</v>
      </c>
      <c r="B492" t="s">
        <v>14</v>
      </c>
      <c r="C492" t="s">
        <v>71</v>
      </c>
      <c r="D492">
        <v>1</v>
      </c>
      <c r="E492" t="s">
        <v>62</v>
      </c>
      <c r="F492" t="s">
        <v>35</v>
      </c>
      <c r="G492">
        <v>26</v>
      </c>
      <c r="H492" t="s">
        <v>137</v>
      </c>
      <c r="I492" t="s">
        <v>150</v>
      </c>
      <c r="J492" t="s">
        <v>13</v>
      </c>
      <c r="K492">
        <f>IF(AND(API_Cosevi[[#This Row],[Rol persona]]="Motociclista", OR(API_Cosevi[[#This Row],[Dia]]="Domingo", API_Cosevi[[#This Row],[Dia]]="Sabado")), 1, 0)</f>
        <v>0</v>
      </c>
      <c r="L492">
        <f>IF(AND(API_Cosevi[[#This Row],[Rol persona]]="Motociclista", OR(API_Cosevi[[#This Row],[Edad quinquenal]]="15 A 19", API_Cosevi[[#This Row],[Edad quinquenal]]="10 A 14")), 1, 0)</f>
        <v>0</v>
      </c>
    </row>
    <row r="493" spans="1:12" x14ac:dyDescent="0.3">
      <c r="A493" t="s">
        <v>33</v>
      </c>
      <c r="B493" t="s">
        <v>50</v>
      </c>
      <c r="C493" t="s">
        <v>125</v>
      </c>
      <c r="D493">
        <v>414</v>
      </c>
      <c r="E493" t="s">
        <v>158</v>
      </c>
      <c r="F493" t="s">
        <v>12</v>
      </c>
      <c r="G493">
        <v>6</v>
      </c>
      <c r="H493" t="s">
        <v>137</v>
      </c>
      <c r="I493" t="s">
        <v>150</v>
      </c>
      <c r="J493" t="s">
        <v>76</v>
      </c>
      <c r="K493">
        <f>IF(AND(API_Cosevi[[#This Row],[Rol persona]]="Motociclista", OR(API_Cosevi[[#This Row],[Dia]]="Domingo", API_Cosevi[[#This Row],[Dia]]="Sabado")), 1, 0)</f>
        <v>0</v>
      </c>
      <c r="L493">
        <f>IF(AND(API_Cosevi[[#This Row],[Rol persona]]="Motociclista", OR(API_Cosevi[[#This Row],[Edad quinquenal]]="15 A 19", API_Cosevi[[#This Row],[Edad quinquenal]]="10 A 14")), 1, 0)</f>
        <v>0</v>
      </c>
    </row>
    <row r="494" spans="1:12" x14ac:dyDescent="0.3">
      <c r="A494" t="s">
        <v>8</v>
      </c>
      <c r="B494" t="s">
        <v>9</v>
      </c>
      <c r="C494" t="s">
        <v>23</v>
      </c>
      <c r="D494">
        <v>150</v>
      </c>
      <c r="E494" t="s">
        <v>62</v>
      </c>
      <c r="F494" t="s">
        <v>12</v>
      </c>
      <c r="G494">
        <v>22</v>
      </c>
      <c r="H494" t="s">
        <v>135</v>
      </c>
      <c r="I494" t="s">
        <v>150</v>
      </c>
      <c r="J494" t="s">
        <v>17</v>
      </c>
      <c r="K494">
        <f>IF(AND(API_Cosevi[[#This Row],[Rol persona]]="Motociclista", OR(API_Cosevi[[#This Row],[Dia]]="Domingo", API_Cosevi[[#This Row],[Dia]]="Sabado")), 1, 0)</f>
        <v>0</v>
      </c>
      <c r="L494">
        <f>IF(AND(API_Cosevi[[#This Row],[Rol persona]]="Motociclista", OR(API_Cosevi[[#This Row],[Edad quinquenal]]="15 A 19", API_Cosevi[[#This Row],[Edad quinquenal]]="10 A 14")), 1, 0)</f>
        <v>0</v>
      </c>
    </row>
    <row r="495" spans="1:12" x14ac:dyDescent="0.3">
      <c r="A495" t="s">
        <v>33</v>
      </c>
      <c r="B495" t="s">
        <v>34</v>
      </c>
      <c r="C495" t="s">
        <v>104</v>
      </c>
      <c r="D495">
        <v>109</v>
      </c>
      <c r="E495" t="s">
        <v>158</v>
      </c>
      <c r="F495" t="s">
        <v>12</v>
      </c>
      <c r="G495">
        <v>62</v>
      </c>
      <c r="H495" t="s">
        <v>133</v>
      </c>
      <c r="I495" t="s">
        <v>150</v>
      </c>
      <c r="J495" t="s">
        <v>49</v>
      </c>
      <c r="K495">
        <f>IF(AND(API_Cosevi[[#This Row],[Rol persona]]="Motociclista", OR(API_Cosevi[[#This Row],[Dia]]="Domingo", API_Cosevi[[#This Row],[Dia]]="Sabado")), 1, 0)</f>
        <v>0</v>
      </c>
      <c r="L495">
        <f>IF(AND(API_Cosevi[[#This Row],[Rol persona]]="Motociclista", OR(API_Cosevi[[#This Row],[Edad quinquenal]]="15 A 19", API_Cosevi[[#This Row],[Edad quinquenal]]="10 A 14")), 1, 0)</f>
        <v>0</v>
      </c>
    </row>
    <row r="496" spans="1:12" x14ac:dyDescent="0.3">
      <c r="A496" t="s">
        <v>8</v>
      </c>
      <c r="B496" t="s">
        <v>29</v>
      </c>
      <c r="C496" t="s">
        <v>37</v>
      </c>
      <c r="D496">
        <v>1</v>
      </c>
      <c r="E496" t="s">
        <v>11</v>
      </c>
      <c r="F496" t="s">
        <v>12</v>
      </c>
      <c r="G496">
        <v>26</v>
      </c>
      <c r="H496" t="s">
        <v>133</v>
      </c>
      <c r="I496" t="s">
        <v>150</v>
      </c>
      <c r="J496" t="s">
        <v>13</v>
      </c>
      <c r="K496">
        <f>IF(AND(API_Cosevi[[#This Row],[Rol persona]]="Motociclista", OR(API_Cosevi[[#This Row],[Dia]]="Domingo", API_Cosevi[[#This Row],[Dia]]="Sabado")), 1, 0)</f>
        <v>0</v>
      </c>
      <c r="L496">
        <f>IF(AND(API_Cosevi[[#This Row],[Rol persona]]="Motociclista", OR(API_Cosevi[[#This Row],[Edad quinquenal]]="15 A 19", API_Cosevi[[#This Row],[Edad quinquenal]]="10 A 14")), 1, 0)</f>
        <v>0</v>
      </c>
    </row>
    <row r="497" spans="1:12" x14ac:dyDescent="0.3">
      <c r="A497" t="s">
        <v>8</v>
      </c>
      <c r="B497" t="s">
        <v>50</v>
      </c>
      <c r="C497" t="s">
        <v>50</v>
      </c>
      <c r="D497">
        <v>10</v>
      </c>
      <c r="E497" t="s">
        <v>158</v>
      </c>
      <c r="F497" t="s">
        <v>12</v>
      </c>
      <c r="G497">
        <v>46</v>
      </c>
      <c r="H497" t="s">
        <v>133</v>
      </c>
      <c r="I497" t="s">
        <v>150</v>
      </c>
      <c r="J497" t="s">
        <v>19</v>
      </c>
      <c r="K497">
        <f>IF(AND(API_Cosevi[[#This Row],[Rol persona]]="Motociclista", OR(API_Cosevi[[#This Row],[Dia]]="Domingo", API_Cosevi[[#This Row],[Dia]]="Sabado")), 1, 0)</f>
        <v>0</v>
      </c>
      <c r="L497">
        <f>IF(AND(API_Cosevi[[#This Row],[Rol persona]]="Motociclista", OR(API_Cosevi[[#This Row],[Edad quinquenal]]="15 A 19", API_Cosevi[[#This Row],[Edad quinquenal]]="10 A 14")), 1, 0)</f>
        <v>0</v>
      </c>
    </row>
    <row r="498" spans="1:12" x14ac:dyDescent="0.3">
      <c r="A498" t="s">
        <v>33</v>
      </c>
      <c r="B498" t="s">
        <v>14</v>
      </c>
      <c r="C498" t="s">
        <v>18</v>
      </c>
      <c r="D498">
        <v>2</v>
      </c>
      <c r="E498" t="s">
        <v>158</v>
      </c>
      <c r="F498" t="s">
        <v>12</v>
      </c>
      <c r="G498">
        <v>45</v>
      </c>
      <c r="H498" t="s">
        <v>132</v>
      </c>
      <c r="I498" t="s">
        <v>150</v>
      </c>
      <c r="J498" t="s">
        <v>19</v>
      </c>
      <c r="K498">
        <f>IF(AND(API_Cosevi[[#This Row],[Rol persona]]="Motociclista", OR(API_Cosevi[[#This Row],[Dia]]="Domingo", API_Cosevi[[#This Row],[Dia]]="Sabado")), 1, 0)</f>
        <v>0</v>
      </c>
      <c r="L498">
        <f>IF(AND(API_Cosevi[[#This Row],[Rol persona]]="Motociclista", OR(API_Cosevi[[#This Row],[Edad quinquenal]]="15 A 19", API_Cosevi[[#This Row],[Edad quinquenal]]="10 A 14")), 1, 0)</f>
        <v>0</v>
      </c>
    </row>
    <row r="499" spans="1:12" x14ac:dyDescent="0.3">
      <c r="A499" t="s">
        <v>8</v>
      </c>
      <c r="B499" t="s">
        <v>29</v>
      </c>
      <c r="C499" t="s">
        <v>93</v>
      </c>
      <c r="D499">
        <v>1</v>
      </c>
      <c r="E499" t="s">
        <v>25</v>
      </c>
      <c r="F499" t="s">
        <v>35</v>
      </c>
      <c r="G499">
        <v>20</v>
      </c>
      <c r="H499" t="s">
        <v>138</v>
      </c>
      <c r="I499" t="s">
        <v>150</v>
      </c>
      <c r="J499" t="s">
        <v>17</v>
      </c>
      <c r="K499">
        <f>IF(AND(API_Cosevi[[#This Row],[Rol persona]]="Motociclista", OR(API_Cosevi[[#This Row],[Dia]]="Domingo", API_Cosevi[[#This Row],[Dia]]="Sabado")), 1, 0)</f>
        <v>0</v>
      </c>
      <c r="L499">
        <f>IF(AND(API_Cosevi[[#This Row],[Rol persona]]="Motociclista", OR(API_Cosevi[[#This Row],[Edad quinquenal]]="15 A 19", API_Cosevi[[#This Row],[Edad quinquenal]]="10 A 14")), 1, 0)</f>
        <v>0</v>
      </c>
    </row>
    <row r="500" spans="1:12" x14ac:dyDescent="0.3">
      <c r="A500" t="s">
        <v>38</v>
      </c>
      <c r="B500" t="s">
        <v>29</v>
      </c>
      <c r="C500" t="s">
        <v>100</v>
      </c>
      <c r="D500">
        <v>4</v>
      </c>
      <c r="E500" t="s">
        <v>39</v>
      </c>
      <c r="F500" t="s">
        <v>12</v>
      </c>
      <c r="G500">
        <v>49</v>
      </c>
      <c r="H500" t="s">
        <v>137</v>
      </c>
      <c r="I500" t="s">
        <v>150</v>
      </c>
      <c r="J500" t="s">
        <v>19</v>
      </c>
      <c r="K500">
        <f>IF(AND(API_Cosevi[[#This Row],[Rol persona]]="Motociclista", OR(API_Cosevi[[#This Row],[Dia]]="Domingo", API_Cosevi[[#This Row],[Dia]]="Sabado")), 1, 0)</f>
        <v>0</v>
      </c>
      <c r="L500">
        <f>IF(AND(API_Cosevi[[#This Row],[Rol persona]]="Motociclista", OR(API_Cosevi[[#This Row],[Edad quinquenal]]="15 A 19", API_Cosevi[[#This Row],[Edad quinquenal]]="10 A 14")), 1, 0)</f>
        <v>0</v>
      </c>
    </row>
    <row r="501" spans="1:12" x14ac:dyDescent="0.3">
      <c r="A501" t="s">
        <v>33</v>
      </c>
      <c r="B501" t="s">
        <v>14</v>
      </c>
      <c r="C501" t="s">
        <v>18</v>
      </c>
      <c r="D501">
        <v>2</v>
      </c>
      <c r="E501" t="s">
        <v>158</v>
      </c>
      <c r="F501" t="s">
        <v>12</v>
      </c>
      <c r="G501">
        <v>45</v>
      </c>
      <c r="H501" t="s">
        <v>132</v>
      </c>
      <c r="I501" t="s">
        <v>150</v>
      </c>
      <c r="J501" t="s">
        <v>19</v>
      </c>
      <c r="K501">
        <f>IF(AND(API_Cosevi[[#This Row],[Rol persona]]="Motociclista", OR(API_Cosevi[[#This Row],[Dia]]="Domingo", API_Cosevi[[#This Row],[Dia]]="Sabado")), 1, 0)</f>
        <v>0</v>
      </c>
      <c r="L501">
        <f>IF(AND(API_Cosevi[[#This Row],[Rol persona]]="Motociclista", OR(API_Cosevi[[#This Row],[Edad quinquenal]]="15 A 19", API_Cosevi[[#This Row],[Edad quinquenal]]="10 A 14")), 1, 0)</f>
        <v>0</v>
      </c>
    </row>
    <row r="502" spans="1:12" x14ac:dyDescent="0.3">
      <c r="A502" t="s">
        <v>33</v>
      </c>
      <c r="B502" t="s">
        <v>14</v>
      </c>
      <c r="C502" t="s">
        <v>18</v>
      </c>
      <c r="D502">
        <v>2</v>
      </c>
      <c r="E502" t="s">
        <v>158</v>
      </c>
      <c r="F502" t="s">
        <v>12</v>
      </c>
      <c r="G502">
        <v>27</v>
      </c>
      <c r="H502" t="s">
        <v>137</v>
      </c>
      <c r="I502" t="s">
        <v>150</v>
      </c>
      <c r="J502" t="s">
        <v>13</v>
      </c>
      <c r="K502">
        <f>IF(AND(API_Cosevi[[#This Row],[Rol persona]]="Motociclista", OR(API_Cosevi[[#This Row],[Dia]]="Domingo", API_Cosevi[[#This Row],[Dia]]="Sabado")), 1, 0)</f>
        <v>0</v>
      </c>
      <c r="L502">
        <f>IF(AND(API_Cosevi[[#This Row],[Rol persona]]="Motociclista", OR(API_Cosevi[[#This Row],[Edad quinquenal]]="15 A 19", API_Cosevi[[#This Row],[Edad quinquenal]]="10 A 14")), 1, 0)</f>
        <v>0</v>
      </c>
    </row>
    <row r="503" spans="1:12" x14ac:dyDescent="0.3">
      <c r="A503" t="s">
        <v>22</v>
      </c>
      <c r="B503" t="s">
        <v>29</v>
      </c>
      <c r="C503" t="s">
        <v>105</v>
      </c>
      <c r="D503">
        <v>154</v>
      </c>
      <c r="E503" t="s">
        <v>62</v>
      </c>
      <c r="F503" t="s">
        <v>35</v>
      </c>
      <c r="G503">
        <v>21</v>
      </c>
      <c r="H503" t="s">
        <v>137</v>
      </c>
      <c r="I503" t="s">
        <v>150</v>
      </c>
      <c r="J503" t="s">
        <v>17</v>
      </c>
      <c r="K503">
        <f>IF(AND(API_Cosevi[[#This Row],[Rol persona]]="Motociclista", OR(API_Cosevi[[#This Row],[Dia]]="Domingo", API_Cosevi[[#This Row],[Dia]]="Sabado")), 1, 0)</f>
        <v>0</v>
      </c>
      <c r="L503">
        <f>IF(AND(API_Cosevi[[#This Row],[Rol persona]]="Motociclista", OR(API_Cosevi[[#This Row],[Edad quinquenal]]="15 A 19", API_Cosevi[[#This Row],[Edad quinquenal]]="10 A 14")), 1, 0)</f>
        <v>0</v>
      </c>
    </row>
    <row r="504" spans="1:12" x14ac:dyDescent="0.3">
      <c r="A504" t="s">
        <v>22</v>
      </c>
      <c r="B504" t="s">
        <v>14</v>
      </c>
      <c r="C504" t="s">
        <v>15</v>
      </c>
      <c r="D504">
        <v>34</v>
      </c>
      <c r="E504" t="s">
        <v>11</v>
      </c>
      <c r="F504" t="s">
        <v>12</v>
      </c>
      <c r="G504">
        <v>28</v>
      </c>
      <c r="H504" t="s">
        <v>136</v>
      </c>
      <c r="I504" t="s">
        <v>150</v>
      </c>
      <c r="J504" t="s">
        <v>13</v>
      </c>
      <c r="K504">
        <f>IF(AND(API_Cosevi[[#This Row],[Rol persona]]="Motociclista", OR(API_Cosevi[[#This Row],[Dia]]="Domingo", API_Cosevi[[#This Row],[Dia]]="Sabado")), 1, 0)</f>
        <v>0</v>
      </c>
      <c r="L504">
        <f>IF(AND(API_Cosevi[[#This Row],[Rol persona]]="Motociclista", OR(API_Cosevi[[#This Row],[Edad quinquenal]]="15 A 19", API_Cosevi[[#This Row],[Edad quinquenal]]="10 A 14")), 1, 0)</f>
        <v>0</v>
      </c>
    </row>
    <row r="505" spans="1:12" x14ac:dyDescent="0.3">
      <c r="A505" t="s">
        <v>8</v>
      </c>
      <c r="B505" t="s">
        <v>29</v>
      </c>
      <c r="C505" t="s">
        <v>47</v>
      </c>
      <c r="D505">
        <v>3</v>
      </c>
      <c r="E505" t="s">
        <v>11</v>
      </c>
      <c r="F505" t="s">
        <v>12</v>
      </c>
      <c r="G505" t="s">
        <v>68</v>
      </c>
      <c r="H505" t="s">
        <v>136</v>
      </c>
      <c r="I505" t="s">
        <v>150</v>
      </c>
      <c r="J505" t="s">
        <v>68</v>
      </c>
      <c r="K505">
        <f>IF(AND(API_Cosevi[[#This Row],[Rol persona]]="Motociclista", OR(API_Cosevi[[#This Row],[Dia]]="Domingo", API_Cosevi[[#This Row],[Dia]]="Sabado")), 1, 0)</f>
        <v>0</v>
      </c>
      <c r="L505">
        <f>IF(AND(API_Cosevi[[#This Row],[Rol persona]]="Motociclista", OR(API_Cosevi[[#This Row],[Edad quinquenal]]="15 A 19", API_Cosevi[[#This Row],[Edad quinquenal]]="10 A 14")), 1, 0)</f>
        <v>0</v>
      </c>
    </row>
    <row r="506" spans="1:12" x14ac:dyDescent="0.3">
      <c r="A506" t="s">
        <v>8</v>
      </c>
      <c r="B506" t="s">
        <v>64</v>
      </c>
      <c r="C506" t="s">
        <v>101</v>
      </c>
      <c r="D506">
        <v>32</v>
      </c>
      <c r="E506" t="s">
        <v>11</v>
      </c>
      <c r="F506" t="s">
        <v>35</v>
      </c>
      <c r="G506">
        <v>28</v>
      </c>
      <c r="H506" t="s">
        <v>136</v>
      </c>
      <c r="I506" t="s">
        <v>150</v>
      </c>
      <c r="J506" t="s">
        <v>13</v>
      </c>
      <c r="K506">
        <f>IF(AND(API_Cosevi[[#This Row],[Rol persona]]="Motociclista", OR(API_Cosevi[[#This Row],[Dia]]="Domingo", API_Cosevi[[#This Row],[Dia]]="Sabado")), 1, 0)</f>
        <v>0</v>
      </c>
      <c r="L506">
        <f>IF(AND(API_Cosevi[[#This Row],[Rol persona]]="Motociclista", OR(API_Cosevi[[#This Row],[Edad quinquenal]]="15 A 19", API_Cosevi[[#This Row],[Edad quinquenal]]="10 A 14")), 1, 0)</f>
        <v>0</v>
      </c>
    </row>
    <row r="507" spans="1:12" x14ac:dyDescent="0.3">
      <c r="J507">
        <f>SUBTOTAL(103,API_Cosevi[Edad quinquenal])</f>
        <v>505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7D12-314E-416D-8B1D-CE4F4D49D788}">
  <sheetPr codeName="Hoja2"/>
  <dimension ref="B9:M55"/>
  <sheetViews>
    <sheetView showGridLines="0" zoomScale="70" zoomScaleNormal="70" workbookViewId="0">
      <selection activeCell="G9" sqref="G9"/>
    </sheetView>
  </sheetViews>
  <sheetFormatPr baseColWidth="10" defaultColWidth="8.88671875" defaultRowHeight="14.4" x14ac:dyDescent="0.3"/>
  <cols>
    <col min="2" max="2" width="16.88671875" bestFit="1" customWidth="1"/>
    <col min="3" max="3" width="24.44140625" bestFit="1" customWidth="1"/>
    <col min="4" max="4" width="8.33203125" bestFit="1" customWidth="1"/>
    <col min="5" max="5" width="25.21875" bestFit="1" customWidth="1"/>
    <col min="6" max="6" width="12.33203125" bestFit="1" customWidth="1"/>
    <col min="7" max="7" width="27.77734375" bestFit="1" customWidth="1"/>
    <col min="8" max="9" width="7.88671875" bestFit="1" customWidth="1"/>
    <col min="10" max="10" width="12.44140625" customWidth="1"/>
    <col min="11" max="11" width="5.5546875" bestFit="1" customWidth="1"/>
    <col min="12" max="12" width="18.33203125" bestFit="1" customWidth="1"/>
    <col min="13" max="13" width="24.44140625" bestFit="1" customWidth="1"/>
    <col min="14" max="14" width="8.21875" bestFit="1" customWidth="1"/>
    <col min="15" max="15" width="10.88671875" bestFit="1" customWidth="1"/>
    <col min="16" max="16" width="10" bestFit="1" customWidth="1"/>
    <col min="17" max="17" width="10.21875" bestFit="1" customWidth="1"/>
    <col min="18" max="18" width="11.109375" bestFit="1" customWidth="1"/>
    <col min="19" max="26" width="7.109375" bestFit="1" customWidth="1"/>
    <col min="27" max="27" width="4" bestFit="1" customWidth="1"/>
    <col min="28" max="28" width="11.77734375" bestFit="1" customWidth="1"/>
    <col min="29" max="29" width="11" bestFit="1" customWidth="1"/>
    <col min="30" max="30" width="6.5546875" bestFit="1" customWidth="1"/>
    <col min="31" max="31" width="7.33203125" bestFit="1" customWidth="1"/>
    <col min="32" max="32" width="6.21875" bestFit="1" customWidth="1"/>
    <col min="33" max="33" width="8.44140625" bestFit="1" customWidth="1"/>
    <col min="34" max="34" width="7.109375" bestFit="1" customWidth="1"/>
    <col min="35" max="35" width="6.5546875" bestFit="1" customWidth="1"/>
    <col min="36" max="36" width="8.5546875" bestFit="1" customWidth="1"/>
    <col min="37" max="37" width="8.21875" bestFit="1" customWidth="1"/>
    <col min="38" max="38" width="7.77734375" bestFit="1" customWidth="1"/>
    <col min="39" max="39" width="9" bestFit="1" customWidth="1"/>
    <col min="40" max="40" width="8" bestFit="1" customWidth="1"/>
    <col min="41" max="41" width="7" bestFit="1" customWidth="1"/>
    <col min="42" max="42" width="8.44140625" bestFit="1" customWidth="1"/>
    <col min="43" max="43" width="6.77734375" bestFit="1" customWidth="1"/>
    <col min="44" max="44" width="6.21875" bestFit="1" customWidth="1"/>
    <col min="45" max="45" width="9.44140625" bestFit="1" customWidth="1"/>
    <col min="46" max="46" width="7.109375" bestFit="1" customWidth="1"/>
    <col min="47" max="48" width="14" bestFit="1" customWidth="1"/>
    <col min="49" max="49" width="8" bestFit="1" customWidth="1"/>
    <col min="50" max="50" width="10.44140625" bestFit="1" customWidth="1"/>
    <col min="51" max="51" width="7.77734375" bestFit="1" customWidth="1"/>
    <col min="52" max="52" width="6.77734375" bestFit="1" customWidth="1"/>
    <col min="53" max="53" width="10.109375" bestFit="1" customWidth="1"/>
    <col min="54" max="54" width="7.44140625" bestFit="1" customWidth="1"/>
    <col min="55" max="55" width="4.109375" bestFit="1" customWidth="1"/>
    <col min="56" max="56" width="8.88671875" bestFit="1" customWidth="1"/>
    <col min="57" max="57" width="7.21875" bestFit="1" customWidth="1"/>
    <col min="58" max="58" width="6.6640625" bestFit="1" customWidth="1"/>
    <col min="59" max="59" width="13.44140625" bestFit="1" customWidth="1"/>
    <col min="60" max="60" width="5" bestFit="1" customWidth="1"/>
    <col min="61" max="61" width="6.5546875" bestFit="1" customWidth="1"/>
    <col min="62" max="62" width="10.6640625" bestFit="1" customWidth="1"/>
    <col min="63" max="64" width="7.6640625" bestFit="1" customWidth="1"/>
    <col min="65" max="65" width="9.88671875" bestFit="1" customWidth="1"/>
    <col min="66" max="66" width="9.6640625" bestFit="1" customWidth="1"/>
    <col min="67" max="67" width="8.21875" bestFit="1" customWidth="1"/>
    <col min="68" max="68" width="10.109375" bestFit="1" customWidth="1"/>
    <col min="69" max="69" width="9.33203125" bestFit="1" customWidth="1"/>
    <col min="70" max="70" width="9.88671875" bestFit="1" customWidth="1"/>
    <col min="71" max="71" width="10.5546875" bestFit="1" customWidth="1"/>
    <col min="72" max="72" width="9.5546875" bestFit="1" customWidth="1"/>
    <col min="73" max="73" width="9.88671875" bestFit="1" customWidth="1"/>
    <col min="74" max="74" width="9" bestFit="1" customWidth="1"/>
    <col min="75" max="75" width="6.109375" bestFit="1" customWidth="1"/>
    <col min="76" max="76" width="8.5546875" bestFit="1" customWidth="1"/>
    <col min="77" max="77" width="10.109375" bestFit="1" customWidth="1"/>
    <col min="78" max="78" width="5.44140625" bestFit="1" customWidth="1"/>
    <col min="79" max="79" width="6.77734375" bestFit="1" customWidth="1"/>
    <col min="80" max="80" width="8.5546875" bestFit="1" customWidth="1"/>
    <col min="81" max="81" width="6" bestFit="1" customWidth="1"/>
    <col min="82" max="82" width="19.88671875" bestFit="1" customWidth="1"/>
    <col min="83" max="83" width="7.33203125" bestFit="1" customWidth="1"/>
    <col min="84" max="84" width="11" bestFit="1" customWidth="1"/>
    <col min="85" max="99" width="21.44140625" bestFit="1" customWidth="1"/>
    <col min="100" max="100" width="10.77734375" bestFit="1" customWidth="1"/>
  </cols>
  <sheetData>
    <row r="9" spans="2:13" x14ac:dyDescent="0.3">
      <c r="B9" s="7" t="s">
        <v>155</v>
      </c>
      <c r="C9" s="7" t="s">
        <v>154</v>
      </c>
      <c r="D9" s="6"/>
      <c r="E9" s="6"/>
      <c r="F9" s="6"/>
      <c r="G9" s="6"/>
      <c r="H9" s="6"/>
      <c r="I9" s="6"/>
      <c r="J9" s="6"/>
      <c r="L9" s="1" t="s">
        <v>162</v>
      </c>
      <c r="M9" t="s">
        <v>128</v>
      </c>
    </row>
    <row r="10" spans="2:13" x14ac:dyDescent="0.3">
      <c r="B10" s="7" t="s">
        <v>156</v>
      </c>
      <c r="C10" s="6" t="s">
        <v>14</v>
      </c>
      <c r="D10" s="6" t="s">
        <v>29</v>
      </c>
      <c r="E10" s="6" t="s">
        <v>34</v>
      </c>
      <c r="F10" s="6" t="s">
        <v>9</v>
      </c>
      <c r="G10" s="6" t="s">
        <v>64</v>
      </c>
      <c r="H10" s="6" t="s">
        <v>40</v>
      </c>
      <c r="I10" s="6" t="s">
        <v>50</v>
      </c>
      <c r="J10" s="6" t="s">
        <v>161</v>
      </c>
      <c r="L10" s="2" t="s">
        <v>14</v>
      </c>
      <c r="M10" s="5">
        <v>0.25346534653465347</v>
      </c>
    </row>
    <row r="11" spans="2:13" x14ac:dyDescent="0.3">
      <c r="B11" s="6" t="s">
        <v>11</v>
      </c>
      <c r="C11" s="13">
        <v>55</v>
      </c>
      <c r="D11" s="13">
        <v>57</v>
      </c>
      <c r="E11" s="13">
        <v>34</v>
      </c>
      <c r="F11" s="13">
        <v>32</v>
      </c>
      <c r="G11" s="13">
        <v>36</v>
      </c>
      <c r="H11" s="13">
        <v>16</v>
      </c>
      <c r="I11" s="13">
        <v>11</v>
      </c>
      <c r="J11" s="13">
        <v>241</v>
      </c>
      <c r="L11" s="2" t="s">
        <v>29</v>
      </c>
      <c r="M11" s="5">
        <v>0.22970297029702971</v>
      </c>
    </row>
    <row r="12" spans="2:13" x14ac:dyDescent="0.3">
      <c r="B12" s="6" t="s">
        <v>25</v>
      </c>
      <c r="C12" s="13">
        <v>18</v>
      </c>
      <c r="D12" s="13">
        <v>22</v>
      </c>
      <c r="E12" s="13">
        <v>12</v>
      </c>
      <c r="F12" s="13">
        <v>9</v>
      </c>
      <c r="G12" s="13">
        <v>6</v>
      </c>
      <c r="H12" s="13">
        <v>2</v>
      </c>
      <c r="I12" s="13">
        <v>3</v>
      </c>
      <c r="J12" s="13">
        <v>72</v>
      </c>
      <c r="L12" s="2" t="s">
        <v>34</v>
      </c>
      <c r="M12" s="5">
        <v>0.15445544554455445</v>
      </c>
    </row>
    <row r="13" spans="2:13" x14ac:dyDescent="0.3">
      <c r="B13" s="6" t="s">
        <v>158</v>
      </c>
      <c r="C13" s="13">
        <v>21</v>
      </c>
      <c r="D13" s="13">
        <v>12</v>
      </c>
      <c r="E13" s="13">
        <v>17</v>
      </c>
      <c r="F13" s="13">
        <v>8</v>
      </c>
      <c r="G13" s="13">
        <v>4</v>
      </c>
      <c r="H13" s="13">
        <v>3</v>
      </c>
      <c r="I13" s="13">
        <v>6</v>
      </c>
      <c r="J13" s="13">
        <v>71</v>
      </c>
      <c r="L13" s="2" t="s">
        <v>9</v>
      </c>
      <c r="M13" s="5">
        <v>0.1306930693069307</v>
      </c>
    </row>
    <row r="14" spans="2:13" x14ac:dyDescent="0.3">
      <c r="B14" s="6" t="s">
        <v>39</v>
      </c>
      <c r="C14" s="13">
        <v>5</v>
      </c>
      <c r="D14" s="13">
        <v>8</v>
      </c>
      <c r="E14" s="13">
        <v>8</v>
      </c>
      <c r="F14" s="13">
        <v>2</v>
      </c>
      <c r="G14" s="13">
        <v>14</v>
      </c>
      <c r="H14" s="13">
        <v>6</v>
      </c>
      <c r="I14" s="13">
        <v>2</v>
      </c>
      <c r="J14" s="13">
        <v>45</v>
      </c>
      <c r="L14" s="2" t="s">
        <v>64</v>
      </c>
      <c r="M14" s="5">
        <v>0.12673267326732673</v>
      </c>
    </row>
    <row r="15" spans="2:13" x14ac:dyDescent="0.3">
      <c r="B15" s="6" t="s">
        <v>16</v>
      </c>
      <c r="C15" s="13">
        <v>18</v>
      </c>
      <c r="D15" s="13">
        <v>11</v>
      </c>
      <c r="E15" s="13">
        <v>5</v>
      </c>
      <c r="F15" s="13">
        <v>6</v>
      </c>
      <c r="G15" s="13">
        <v>2</v>
      </c>
      <c r="H15" s="13">
        <v>1</v>
      </c>
      <c r="I15" s="13"/>
      <c r="J15" s="13">
        <v>43</v>
      </c>
      <c r="L15" s="2" t="s">
        <v>40</v>
      </c>
      <c r="M15" s="5">
        <v>5.9405940594059403E-2</v>
      </c>
    </row>
    <row r="16" spans="2:13" x14ac:dyDescent="0.3">
      <c r="B16" s="6" t="s">
        <v>62</v>
      </c>
      <c r="C16" s="13">
        <v>11</v>
      </c>
      <c r="D16" s="13">
        <v>5</v>
      </c>
      <c r="E16" s="13">
        <v>1</v>
      </c>
      <c r="F16" s="13">
        <v>7</v>
      </c>
      <c r="G16" s="13">
        <v>2</v>
      </c>
      <c r="H16" s="13">
        <v>1</v>
      </c>
      <c r="I16" s="13">
        <v>1</v>
      </c>
      <c r="J16" s="13">
        <v>28</v>
      </c>
      <c r="L16" s="2" t="s">
        <v>50</v>
      </c>
      <c r="M16" s="5">
        <v>4.5544554455445543E-2</v>
      </c>
    </row>
    <row r="17" spans="2:13" x14ac:dyDescent="0.3">
      <c r="B17" s="6" t="s">
        <v>82</v>
      </c>
      <c r="C17" s="13"/>
      <c r="D17" s="13">
        <v>1</v>
      </c>
      <c r="E17" s="13"/>
      <c r="F17" s="13">
        <v>1</v>
      </c>
      <c r="G17" s="13"/>
      <c r="H17" s="13">
        <v>1</v>
      </c>
      <c r="I17" s="13"/>
      <c r="J17" s="13">
        <v>3</v>
      </c>
      <c r="L17" s="2" t="s">
        <v>161</v>
      </c>
      <c r="M17" s="5">
        <v>1</v>
      </c>
    </row>
    <row r="18" spans="2:13" x14ac:dyDescent="0.3">
      <c r="B18" s="6" t="s">
        <v>124</v>
      </c>
      <c r="C18" s="13"/>
      <c r="D18" s="13"/>
      <c r="E18" s="13">
        <v>1</v>
      </c>
      <c r="F18" s="13"/>
      <c r="G18" s="13"/>
      <c r="H18" s="13"/>
      <c r="I18" s="13"/>
      <c r="J18" s="13">
        <v>1</v>
      </c>
    </row>
    <row r="19" spans="2:13" x14ac:dyDescent="0.3">
      <c r="B19" s="6" t="s">
        <v>121</v>
      </c>
      <c r="C19" s="13"/>
      <c r="D19" s="13"/>
      <c r="E19" s="13"/>
      <c r="F19" s="13">
        <v>1</v>
      </c>
      <c r="G19" s="13"/>
      <c r="H19" s="13"/>
      <c r="I19" s="13"/>
      <c r="J19" s="13">
        <v>1</v>
      </c>
    </row>
    <row r="20" spans="2:13" x14ac:dyDescent="0.3">
      <c r="B20" s="6" t="s">
        <v>161</v>
      </c>
      <c r="C20" s="13">
        <v>128</v>
      </c>
      <c r="D20" s="13">
        <v>116</v>
      </c>
      <c r="E20" s="13">
        <v>78</v>
      </c>
      <c r="F20" s="13">
        <v>66</v>
      </c>
      <c r="G20" s="13">
        <v>64</v>
      </c>
      <c r="H20" s="13">
        <v>30</v>
      </c>
      <c r="I20" s="13">
        <v>23</v>
      </c>
      <c r="J20" s="13">
        <v>505</v>
      </c>
    </row>
    <row r="22" spans="2:13" x14ac:dyDescent="0.3">
      <c r="L22" s="1" t="s">
        <v>162</v>
      </c>
      <c r="M22" t="s">
        <v>128</v>
      </c>
    </row>
    <row r="23" spans="2:13" x14ac:dyDescent="0.3">
      <c r="L23" s="2" t="s">
        <v>13</v>
      </c>
      <c r="M23" s="11">
        <v>87</v>
      </c>
    </row>
    <row r="24" spans="2:13" x14ac:dyDescent="0.3">
      <c r="B24" s="6"/>
      <c r="C24" s="7" t="s">
        <v>163</v>
      </c>
      <c r="D24" s="6"/>
      <c r="E24" s="6"/>
      <c r="F24" s="6"/>
      <c r="L24" s="2" t="s">
        <v>17</v>
      </c>
      <c r="M24" s="11">
        <v>71</v>
      </c>
    </row>
    <row r="25" spans="2:13" x14ac:dyDescent="0.3">
      <c r="B25" s="6"/>
      <c r="C25" s="6" t="s">
        <v>102</v>
      </c>
      <c r="D25" s="6" t="s">
        <v>12</v>
      </c>
      <c r="E25" s="6" t="s">
        <v>35</v>
      </c>
      <c r="F25" s="6" t="s">
        <v>161</v>
      </c>
      <c r="L25" s="2" t="s">
        <v>21</v>
      </c>
      <c r="M25" s="11">
        <v>61</v>
      </c>
    </row>
    <row r="26" spans="2:13" x14ac:dyDescent="0.3">
      <c r="B26" s="6" t="s">
        <v>129</v>
      </c>
      <c r="C26" s="13">
        <v>7</v>
      </c>
      <c r="D26" s="13">
        <v>427</v>
      </c>
      <c r="E26" s="13">
        <v>71</v>
      </c>
      <c r="F26" s="13">
        <v>505</v>
      </c>
      <c r="L26" s="2" t="s">
        <v>32</v>
      </c>
      <c r="M26" s="11">
        <v>44</v>
      </c>
    </row>
    <row r="27" spans="2:13" x14ac:dyDescent="0.3">
      <c r="L27" s="2" t="s">
        <v>28</v>
      </c>
      <c r="M27" s="11">
        <v>44</v>
      </c>
    </row>
    <row r="28" spans="2:13" x14ac:dyDescent="0.3">
      <c r="L28" s="2" t="s">
        <v>19</v>
      </c>
      <c r="M28" s="11">
        <v>37</v>
      </c>
    </row>
    <row r="29" spans="2:13" x14ac:dyDescent="0.3">
      <c r="L29" s="2" t="s">
        <v>68</v>
      </c>
      <c r="M29" s="11">
        <v>35</v>
      </c>
    </row>
    <row r="30" spans="2:13" x14ac:dyDescent="0.3">
      <c r="L30" s="2" t="s">
        <v>31</v>
      </c>
      <c r="M30" s="11">
        <v>30</v>
      </c>
    </row>
    <row r="31" spans="2:13" x14ac:dyDescent="0.3">
      <c r="L31" s="2" t="s">
        <v>49</v>
      </c>
      <c r="M31" s="11">
        <v>24</v>
      </c>
    </row>
    <row r="32" spans="2:13" x14ac:dyDescent="0.3">
      <c r="B32" s="3" t="s">
        <v>151</v>
      </c>
      <c r="C32" s="4" t="s">
        <v>128</v>
      </c>
      <c r="G32" t="s">
        <v>164</v>
      </c>
      <c r="L32" s="2" t="s">
        <v>36</v>
      </c>
      <c r="M32" s="11">
        <v>19</v>
      </c>
    </row>
    <row r="33" spans="2:13" x14ac:dyDescent="0.3">
      <c r="B33" s="4" t="s">
        <v>132</v>
      </c>
      <c r="C33" s="12">
        <v>115</v>
      </c>
      <c r="G33" s="13">
        <v>19</v>
      </c>
      <c r="L33" s="2" t="s">
        <v>60</v>
      </c>
      <c r="M33" s="11">
        <v>15</v>
      </c>
    </row>
    <row r="34" spans="2:13" ht="15" thickBot="1" x14ac:dyDescent="0.35">
      <c r="B34" s="4" t="s">
        <v>138</v>
      </c>
      <c r="C34" s="12">
        <v>97</v>
      </c>
      <c r="L34" s="2" t="s">
        <v>27</v>
      </c>
      <c r="M34" s="11">
        <v>14</v>
      </c>
    </row>
    <row r="35" spans="2:13" x14ac:dyDescent="0.3">
      <c r="B35" s="4" t="s">
        <v>133</v>
      </c>
      <c r="C35" s="12">
        <v>70</v>
      </c>
      <c r="E35" s="14"/>
      <c r="G35" s="8" t="s">
        <v>160</v>
      </c>
      <c r="L35" s="2" t="s">
        <v>42</v>
      </c>
      <c r="M35" s="11">
        <v>12</v>
      </c>
    </row>
    <row r="36" spans="2:13" ht="15" thickBot="1" x14ac:dyDescent="0.35">
      <c r="B36" s="4" t="s">
        <v>134</v>
      </c>
      <c r="C36" s="12">
        <v>60</v>
      </c>
      <c r="E36" s="15"/>
      <c r="G36" s="9">
        <f>3600/GETPIVOTDATA("Tipo de accidente",$B$9,"Rol persona","Peaton")</f>
        <v>50.70422535211268</v>
      </c>
      <c r="L36" s="2" t="s">
        <v>94</v>
      </c>
      <c r="M36" s="11">
        <v>6</v>
      </c>
    </row>
    <row r="37" spans="2:13" x14ac:dyDescent="0.3">
      <c r="B37" s="4" t="s">
        <v>136</v>
      </c>
      <c r="C37" s="12">
        <v>59</v>
      </c>
      <c r="L37" s="2" t="s">
        <v>43</v>
      </c>
      <c r="M37" s="11">
        <v>4</v>
      </c>
    </row>
    <row r="38" spans="2:13" x14ac:dyDescent="0.3">
      <c r="B38" s="4" t="s">
        <v>135</v>
      </c>
      <c r="C38" s="12">
        <v>53</v>
      </c>
      <c r="L38" s="2" t="s">
        <v>76</v>
      </c>
      <c r="M38" s="11">
        <v>2</v>
      </c>
    </row>
    <row r="39" spans="2:13" x14ac:dyDescent="0.3">
      <c r="B39" s="4" t="s">
        <v>137</v>
      </c>
      <c r="C39" s="12">
        <v>51</v>
      </c>
      <c r="L39" s="2" t="s">
        <v>161</v>
      </c>
      <c r="M39" s="11">
        <v>505</v>
      </c>
    </row>
    <row r="40" spans="2:13" x14ac:dyDescent="0.3">
      <c r="B40" s="4" t="s">
        <v>161</v>
      </c>
      <c r="C40" s="12">
        <v>505</v>
      </c>
    </row>
    <row r="42" spans="2:13" x14ac:dyDescent="0.3">
      <c r="B42" s="1" t="s">
        <v>152</v>
      </c>
      <c r="C42" t="s">
        <v>153</v>
      </c>
      <c r="E42" s="1" t="s">
        <v>157</v>
      </c>
      <c r="F42" t="s">
        <v>153</v>
      </c>
    </row>
    <row r="43" spans="2:13" x14ac:dyDescent="0.3">
      <c r="B43" s="2" t="s">
        <v>150</v>
      </c>
      <c r="C43" s="11">
        <v>65</v>
      </c>
      <c r="E43" s="2" t="s">
        <v>8</v>
      </c>
      <c r="F43" s="11">
        <v>224</v>
      </c>
    </row>
    <row r="44" spans="2:13" x14ac:dyDescent="0.3">
      <c r="B44" s="2" t="s">
        <v>147</v>
      </c>
      <c r="C44" s="11">
        <v>55</v>
      </c>
      <c r="E44" s="2" t="s">
        <v>22</v>
      </c>
      <c r="F44" s="11">
        <v>95</v>
      </c>
    </row>
    <row r="45" spans="2:13" x14ac:dyDescent="0.3">
      <c r="B45" s="2" t="s">
        <v>149</v>
      </c>
      <c r="C45" s="11">
        <v>46</v>
      </c>
      <c r="E45" s="2" t="s">
        <v>33</v>
      </c>
      <c r="F45" s="11">
        <v>80</v>
      </c>
    </row>
    <row r="46" spans="2:13" x14ac:dyDescent="0.3">
      <c r="B46" s="2" t="s">
        <v>143</v>
      </c>
      <c r="C46" s="11">
        <v>43</v>
      </c>
      <c r="E46" s="2" t="s">
        <v>38</v>
      </c>
      <c r="F46" s="11">
        <v>38</v>
      </c>
    </row>
    <row r="47" spans="2:13" x14ac:dyDescent="0.3">
      <c r="B47" s="2" t="s">
        <v>148</v>
      </c>
      <c r="C47" s="11">
        <v>41</v>
      </c>
      <c r="E47" s="2" t="s">
        <v>46</v>
      </c>
      <c r="F47" s="11">
        <v>38</v>
      </c>
    </row>
    <row r="48" spans="2:13" x14ac:dyDescent="0.3">
      <c r="B48" s="2" t="s">
        <v>139</v>
      </c>
      <c r="C48" s="11">
        <v>41</v>
      </c>
      <c r="E48" s="2" t="s">
        <v>91</v>
      </c>
      <c r="F48" s="11">
        <v>16</v>
      </c>
    </row>
    <row r="49" spans="2:6" x14ac:dyDescent="0.3">
      <c r="B49" s="2" t="s">
        <v>141</v>
      </c>
      <c r="C49" s="11">
        <v>39</v>
      </c>
      <c r="E49" s="2" t="s">
        <v>87</v>
      </c>
      <c r="F49" s="11">
        <v>10</v>
      </c>
    </row>
    <row r="50" spans="2:6" x14ac:dyDescent="0.3">
      <c r="B50" s="2" t="s">
        <v>142</v>
      </c>
      <c r="C50" s="11">
        <v>39</v>
      </c>
      <c r="E50" s="2" t="s">
        <v>114</v>
      </c>
      <c r="F50" s="11">
        <v>3</v>
      </c>
    </row>
    <row r="51" spans="2:6" x14ac:dyDescent="0.3">
      <c r="B51" s="2" t="s">
        <v>140</v>
      </c>
      <c r="C51" s="11">
        <v>37</v>
      </c>
      <c r="E51" s="2" t="s">
        <v>113</v>
      </c>
      <c r="F51" s="11">
        <v>1</v>
      </c>
    </row>
    <row r="52" spans="2:6" x14ac:dyDescent="0.3">
      <c r="B52" s="2" t="s">
        <v>146</v>
      </c>
      <c r="C52" s="11">
        <v>34</v>
      </c>
      <c r="E52" s="2" t="s">
        <v>161</v>
      </c>
      <c r="F52" s="11">
        <v>505</v>
      </c>
    </row>
    <row r="53" spans="2:6" x14ac:dyDescent="0.3">
      <c r="B53" s="2" t="s">
        <v>145</v>
      </c>
      <c r="C53" s="11">
        <v>33</v>
      </c>
    </row>
    <row r="54" spans="2:6" x14ac:dyDescent="0.3">
      <c r="B54" s="2" t="s">
        <v>144</v>
      </c>
      <c r="C54" s="11">
        <v>32</v>
      </c>
    </row>
    <row r="55" spans="2:6" x14ac:dyDescent="0.3">
      <c r="B55" s="2" t="s">
        <v>161</v>
      </c>
      <c r="C55" s="11">
        <v>505</v>
      </c>
    </row>
  </sheetData>
  <sheetProtection algorithmName="SHA-512" hashValue="Ogl+Lj6G8pbVSZPUnDDoBhtwWLT+ksyytxz1sJVObLIFuJWBb8dNcVkpl9X2KoOxfD3cAovIagzHsyI32CRGKQ==" saltValue="wiQyypG0Hq6z6wwSXT/4Bg==" spinCount="100000" sheet="1" objects="1" scenarios="1"/>
  <pageMargins left="0.7" right="0.7" top="0.75" bottom="0.75" header="0.3" footer="0.3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AgregarRegistro" altText="Nuevo Registro de Accidente">
                <anchor moveWithCells="1">
                  <from>
                    <xdr:col>4</xdr:col>
                    <xdr:colOff>152400</xdr:colOff>
                    <xdr:row>31</xdr:row>
                    <xdr:rowOff>7620</xdr:rowOff>
                  </from>
                  <to>
                    <xdr:col>5</xdr:col>
                    <xdr:colOff>449580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2" name="Button 3">
              <controlPr defaultSize="0" print="0" autoFill="0" autoPict="0" macro="[0]!MultiplicarValor">
                <anchor moveWithCells="1" sizeWithCells="1">
                  <from>
                    <xdr:col>4</xdr:col>
                    <xdr:colOff>160020</xdr:colOff>
                    <xdr:row>36</xdr:row>
                    <xdr:rowOff>7620</xdr:rowOff>
                  </from>
                  <to>
                    <xdr:col>5</xdr:col>
                    <xdr:colOff>281940</xdr:colOff>
                    <xdr:row>38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3" name="Button 4">
              <controlPr defaultSize="0" print="0" autoFill="0" autoPict="0" macro="[0]!ExportarTablaACSV" altText="Crear CSV">
                <anchor moveWithCells="1" sizeWithCells="1">
                  <from>
                    <xdr:col>7</xdr:col>
                    <xdr:colOff>487680</xdr:colOff>
                    <xdr:row>31</xdr:row>
                    <xdr:rowOff>22860</xdr:rowOff>
                  </from>
                  <to>
                    <xdr:col>10</xdr:col>
                    <xdr:colOff>182880</xdr:colOff>
                    <xdr:row>36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718B-5B9C-4712-A68A-7C14648CA095}">
  <sheetPr codeName="Hoja5"/>
  <dimension ref="A1:L507"/>
  <sheetViews>
    <sheetView tabSelected="1" workbookViewId="0">
      <selection activeCell="I19" sqref="I19"/>
    </sheetView>
  </sheetViews>
  <sheetFormatPr baseColWidth="10" defaultRowHeight="14.4" x14ac:dyDescent="0.3"/>
  <cols>
    <col min="1" max="1" width="23.44140625" bestFit="1" customWidth="1"/>
    <col min="2" max="2" width="11" bestFit="1" customWidth="1"/>
    <col min="3" max="3" width="18.77734375" bestFit="1" customWidth="1"/>
    <col min="4" max="4" width="20.6640625" bestFit="1" customWidth="1"/>
    <col min="5" max="5" width="15.21875" bestFit="1" customWidth="1"/>
    <col min="6" max="6" width="11.5546875" bestFit="1" customWidth="1"/>
    <col min="7" max="7" width="11.44140625" bestFit="1" customWidth="1"/>
    <col min="8" max="8" width="9" bestFit="1" customWidth="1"/>
    <col min="9" max="9" width="10" bestFit="1" customWidth="1"/>
    <col min="10" max="10" width="17.44140625" bestFit="1" customWidth="1"/>
    <col min="11" max="11" width="10.77734375" bestFit="1" customWidth="1"/>
    <col min="12" max="12" width="15.21875" bestFit="1" customWidth="1"/>
  </cols>
  <sheetData>
    <row r="1" spans="1:12" x14ac:dyDescent="0.3">
      <c r="A1" s="11" t="s">
        <v>0</v>
      </c>
      <c r="B1" s="11" t="s">
        <v>1</v>
      </c>
      <c r="C1" s="11" t="s">
        <v>131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130</v>
      </c>
      <c r="I1" s="11" t="s">
        <v>6</v>
      </c>
      <c r="J1" s="11" t="s">
        <v>7</v>
      </c>
      <c r="K1" s="11" t="s">
        <v>165</v>
      </c>
      <c r="L1" s="11" t="s">
        <v>159</v>
      </c>
    </row>
    <row r="2" spans="1:12" x14ac:dyDescent="0.3">
      <c r="A2" s="11" t="s">
        <v>8</v>
      </c>
      <c r="B2" s="11" t="s">
        <v>9</v>
      </c>
      <c r="C2" s="11" t="s">
        <v>10</v>
      </c>
      <c r="D2" s="11">
        <v>152</v>
      </c>
      <c r="E2" s="11" t="s">
        <v>11</v>
      </c>
      <c r="F2" s="11" t="s">
        <v>12</v>
      </c>
      <c r="G2" s="11">
        <v>27</v>
      </c>
      <c r="H2" s="11" t="s">
        <v>137</v>
      </c>
      <c r="I2" s="11" t="s">
        <v>139</v>
      </c>
      <c r="J2" s="11" t="s">
        <v>13</v>
      </c>
      <c r="K2" s="11">
        <v>0</v>
      </c>
      <c r="L2" s="11">
        <v>0</v>
      </c>
    </row>
    <row r="3" spans="1:12" x14ac:dyDescent="0.3">
      <c r="A3" s="11" t="s">
        <v>8</v>
      </c>
      <c r="B3" s="11" t="s">
        <v>14</v>
      </c>
      <c r="C3" s="11" t="s">
        <v>15</v>
      </c>
      <c r="D3" s="11">
        <v>34</v>
      </c>
      <c r="E3" s="11" t="s">
        <v>16</v>
      </c>
      <c r="F3" s="11" t="s">
        <v>12</v>
      </c>
      <c r="G3" s="11">
        <v>23</v>
      </c>
      <c r="H3" s="11" t="s">
        <v>137</v>
      </c>
      <c r="I3" s="11" t="s">
        <v>139</v>
      </c>
      <c r="J3" s="11" t="s">
        <v>17</v>
      </c>
      <c r="K3" s="11">
        <v>0</v>
      </c>
      <c r="L3" s="11">
        <v>0</v>
      </c>
    </row>
    <row r="4" spans="1:12" x14ac:dyDescent="0.3">
      <c r="A4" s="11" t="s">
        <v>8</v>
      </c>
      <c r="B4" s="11" t="s">
        <v>14</v>
      </c>
      <c r="C4" s="11" t="s">
        <v>18</v>
      </c>
      <c r="D4" s="11">
        <v>2</v>
      </c>
      <c r="E4" s="11" t="s">
        <v>16</v>
      </c>
      <c r="F4" s="11" t="s">
        <v>12</v>
      </c>
      <c r="G4" s="11">
        <v>48</v>
      </c>
      <c r="H4" s="11" t="s">
        <v>134</v>
      </c>
      <c r="I4" s="11" t="s">
        <v>139</v>
      </c>
      <c r="J4" s="11" t="s">
        <v>19</v>
      </c>
      <c r="K4" s="11">
        <v>0</v>
      </c>
      <c r="L4" s="11">
        <v>0</v>
      </c>
    </row>
    <row r="5" spans="1:12" x14ac:dyDescent="0.3">
      <c r="A5" s="11" t="s">
        <v>8</v>
      </c>
      <c r="B5" s="11" t="s">
        <v>14</v>
      </c>
      <c r="C5" s="11" t="s">
        <v>18</v>
      </c>
      <c r="D5" s="11">
        <v>2</v>
      </c>
      <c r="E5" s="11" t="s">
        <v>16</v>
      </c>
      <c r="F5" s="11" t="s">
        <v>12</v>
      </c>
      <c r="G5" s="11">
        <v>46</v>
      </c>
      <c r="H5" s="11" t="s">
        <v>134</v>
      </c>
      <c r="I5" s="11" t="s">
        <v>139</v>
      </c>
      <c r="J5" s="11" t="s">
        <v>19</v>
      </c>
      <c r="K5" s="11">
        <v>0</v>
      </c>
      <c r="L5" s="11">
        <v>0</v>
      </c>
    </row>
    <row r="6" spans="1:12" x14ac:dyDescent="0.3">
      <c r="A6" s="11" t="s">
        <v>8</v>
      </c>
      <c r="B6" s="11" t="s">
        <v>9</v>
      </c>
      <c r="C6" s="11" t="s">
        <v>20</v>
      </c>
      <c r="D6" s="11">
        <v>21</v>
      </c>
      <c r="E6" s="11" t="s">
        <v>11</v>
      </c>
      <c r="F6" s="11" t="s">
        <v>12</v>
      </c>
      <c r="G6" s="11">
        <v>34</v>
      </c>
      <c r="H6" s="11" t="s">
        <v>132</v>
      </c>
      <c r="I6" s="11" t="s">
        <v>139</v>
      </c>
      <c r="J6" s="11" t="s">
        <v>21</v>
      </c>
      <c r="K6" s="11">
        <v>1</v>
      </c>
      <c r="L6" s="11">
        <v>0</v>
      </c>
    </row>
    <row r="7" spans="1:12" x14ac:dyDescent="0.3">
      <c r="A7" s="11" t="s">
        <v>22</v>
      </c>
      <c r="B7" s="11" t="s">
        <v>9</v>
      </c>
      <c r="C7" s="11" t="s">
        <v>23</v>
      </c>
      <c r="D7" s="11" t="s">
        <v>24</v>
      </c>
      <c r="E7" s="11" t="s">
        <v>25</v>
      </c>
      <c r="F7" s="11" t="s">
        <v>12</v>
      </c>
      <c r="G7" s="11">
        <v>26</v>
      </c>
      <c r="H7" s="11" t="s">
        <v>132</v>
      </c>
      <c r="I7" s="11" t="s">
        <v>139</v>
      </c>
      <c r="J7" s="11" t="s">
        <v>13</v>
      </c>
      <c r="K7" s="11">
        <v>0</v>
      </c>
      <c r="L7" s="11">
        <v>0</v>
      </c>
    </row>
    <row r="8" spans="1:12" x14ac:dyDescent="0.3">
      <c r="A8" s="11" t="s">
        <v>8</v>
      </c>
      <c r="B8" s="11" t="s">
        <v>9</v>
      </c>
      <c r="C8" s="11" t="s">
        <v>26</v>
      </c>
      <c r="D8" s="11">
        <v>1</v>
      </c>
      <c r="E8" s="11" t="s">
        <v>25</v>
      </c>
      <c r="F8" s="11" t="s">
        <v>12</v>
      </c>
      <c r="G8" s="11">
        <v>68</v>
      </c>
      <c r="H8" s="11" t="s">
        <v>137</v>
      </c>
      <c r="I8" s="11" t="s">
        <v>139</v>
      </c>
      <c r="J8" s="11" t="s">
        <v>27</v>
      </c>
      <c r="K8" s="11">
        <v>0</v>
      </c>
      <c r="L8" s="11">
        <v>0</v>
      </c>
    </row>
    <row r="9" spans="1:12" x14ac:dyDescent="0.3">
      <c r="A9" s="11" t="s">
        <v>8</v>
      </c>
      <c r="B9" s="11" t="s">
        <v>9</v>
      </c>
      <c r="C9" s="11" t="s">
        <v>26</v>
      </c>
      <c r="D9" s="11">
        <v>1</v>
      </c>
      <c r="E9" s="11" t="s">
        <v>16</v>
      </c>
      <c r="F9" s="11" t="s">
        <v>12</v>
      </c>
      <c r="G9" s="11">
        <v>40</v>
      </c>
      <c r="H9" s="11" t="s">
        <v>137</v>
      </c>
      <c r="I9" s="11" t="s">
        <v>139</v>
      </c>
      <c r="J9" s="11" t="s">
        <v>28</v>
      </c>
      <c r="K9" s="11">
        <v>0</v>
      </c>
      <c r="L9" s="11">
        <v>0</v>
      </c>
    </row>
    <row r="10" spans="1:12" x14ac:dyDescent="0.3">
      <c r="A10" s="11" t="s">
        <v>22</v>
      </c>
      <c r="B10" s="11" t="s">
        <v>29</v>
      </c>
      <c r="C10" s="11" t="s">
        <v>30</v>
      </c>
      <c r="D10" s="11" t="s">
        <v>24</v>
      </c>
      <c r="E10" s="11" t="s">
        <v>11</v>
      </c>
      <c r="F10" s="11" t="s">
        <v>12</v>
      </c>
      <c r="G10" s="11">
        <v>19</v>
      </c>
      <c r="H10" s="11" t="s">
        <v>136</v>
      </c>
      <c r="I10" s="11" t="s">
        <v>139</v>
      </c>
      <c r="J10" s="11" t="s">
        <v>31</v>
      </c>
      <c r="K10" s="11">
        <v>0</v>
      </c>
      <c r="L10" s="11">
        <v>1</v>
      </c>
    </row>
    <row r="11" spans="1:12" x14ac:dyDescent="0.3">
      <c r="A11" s="11" t="s">
        <v>8</v>
      </c>
      <c r="B11" s="11" t="s">
        <v>9</v>
      </c>
      <c r="C11" s="11" t="s">
        <v>23</v>
      </c>
      <c r="D11" s="11">
        <v>21</v>
      </c>
      <c r="E11" s="11" t="s">
        <v>11</v>
      </c>
      <c r="F11" s="11" t="s">
        <v>12</v>
      </c>
      <c r="G11" s="11">
        <v>38</v>
      </c>
      <c r="H11" s="11" t="s">
        <v>136</v>
      </c>
      <c r="I11" s="11" t="s">
        <v>139</v>
      </c>
      <c r="J11" s="11" t="s">
        <v>32</v>
      </c>
      <c r="K11" s="11">
        <v>0</v>
      </c>
      <c r="L11" s="11">
        <v>0</v>
      </c>
    </row>
    <row r="12" spans="1:12" x14ac:dyDescent="0.3">
      <c r="A12" s="11" t="s">
        <v>166</v>
      </c>
      <c r="B12" s="11" t="s">
        <v>34</v>
      </c>
      <c r="C12" s="11" t="s">
        <v>34</v>
      </c>
      <c r="D12" s="11" t="s">
        <v>24</v>
      </c>
      <c r="E12" s="11" t="s">
        <v>158</v>
      </c>
      <c r="F12" s="11" t="s">
        <v>35</v>
      </c>
      <c r="G12" s="11">
        <v>57</v>
      </c>
      <c r="H12" s="11" t="s">
        <v>134</v>
      </c>
      <c r="I12" s="11" t="s">
        <v>139</v>
      </c>
      <c r="J12" s="11" t="s">
        <v>36</v>
      </c>
      <c r="K12" s="11">
        <v>0</v>
      </c>
      <c r="L12" s="11">
        <v>0</v>
      </c>
    </row>
    <row r="13" spans="1:12" x14ac:dyDescent="0.3">
      <c r="A13" s="11" t="s">
        <v>8</v>
      </c>
      <c r="B13" s="11" t="s">
        <v>14</v>
      </c>
      <c r="C13" s="11" t="s">
        <v>18</v>
      </c>
      <c r="D13" s="11">
        <v>2</v>
      </c>
      <c r="E13" s="11" t="s">
        <v>25</v>
      </c>
      <c r="F13" s="11" t="s">
        <v>12</v>
      </c>
      <c r="G13" s="11">
        <v>38</v>
      </c>
      <c r="H13" s="11" t="s">
        <v>134</v>
      </c>
      <c r="I13" s="11" t="s">
        <v>139</v>
      </c>
      <c r="J13" s="11" t="s">
        <v>32</v>
      </c>
      <c r="K13" s="11">
        <v>0</v>
      </c>
      <c r="L13" s="11">
        <v>0</v>
      </c>
    </row>
    <row r="14" spans="1:12" x14ac:dyDescent="0.3">
      <c r="A14" s="11" t="s">
        <v>22</v>
      </c>
      <c r="B14" s="11" t="s">
        <v>29</v>
      </c>
      <c r="C14" s="11" t="s">
        <v>37</v>
      </c>
      <c r="D14" s="11">
        <v>141</v>
      </c>
      <c r="E14" s="11" t="s">
        <v>25</v>
      </c>
      <c r="F14" s="11" t="s">
        <v>12</v>
      </c>
      <c r="G14" s="11">
        <v>38</v>
      </c>
      <c r="H14" s="11" t="s">
        <v>132</v>
      </c>
      <c r="I14" s="11" t="s">
        <v>139</v>
      </c>
      <c r="J14" s="11" t="s">
        <v>32</v>
      </c>
      <c r="K14" s="11">
        <v>0</v>
      </c>
      <c r="L14" s="11">
        <v>0</v>
      </c>
    </row>
    <row r="15" spans="1:12" x14ac:dyDescent="0.3">
      <c r="A15" s="11" t="s">
        <v>38</v>
      </c>
      <c r="B15" s="11" t="s">
        <v>9</v>
      </c>
      <c r="C15" s="11" t="s">
        <v>10</v>
      </c>
      <c r="D15" s="11">
        <v>21</v>
      </c>
      <c r="E15" s="11" t="s">
        <v>39</v>
      </c>
      <c r="F15" s="11" t="s">
        <v>12</v>
      </c>
      <c r="G15" s="11">
        <v>56</v>
      </c>
      <c r="H15" s="11" t="s">
        <v>136</v>
      </c>
      <c r="I15" s="11" t="s">
        <v>139</v>
      </c>
      <c r="J15" s="11" t="s">
        <v>36</v>
      </c>
      <c r="K15" s="11">
        <v>0</v>
      </c>
      <c r="L15" s="11">
        <v>0</v>
      </c>
    </row>
    <row r="16" spans="1:12" x14ac:dyDescent="0.3">
      <c r="A16" s="11" t="s">
        <v>8</v>
      </c>
      <c r="B16" s="11" t="s">
        <v>34</v>
      </c>
      <c r="C16" s="11" t="s">
        <v>34</v>
      </c>
      <c r="D16" s="11">
        <v>39</v>
      </c>
      <c r="E16" s="11" t="s">
        <v>11</v>
      </c>
      <c r="F16" s="11" t="s">
        <v>12</v>
      </c>
      <c r="G16" s="11">
        <v>38</v>
      </c>
      <c r="H16" s="11" t="s">
        <v>136</v>
      </c>
      <c r="I16" s="11" t="s">
        <v>139</v>
      </c>
      <c r="J16" s="11" t="s">
        <v>32</v>
      </c>
      <c r="K16" s="11">
        <v>0</v>
      </c>
      <c r="L16" s="11">
        <v>0</v>
      </c>
    </row>
    <row r="17" spans="1:12" x14ac:dyDescent="0.3">
      <c r="A17" s="11" t="s">
        <v>22</v>
      </c>
      <c r="B17" s="11" t="s">
        <v>40</v>
      </c>
      <c r="C17" s="11" t="s">
        <v>40</v>
      </c>
      <c r="D17">
        <v>1</v>
      </c>
      <c r="E17" s="11" t="s">
        <v>11</v>
      </c>
      <c r="F17" s="11" t="s">
        <v>12</v>
      </c>
      <c r="G17">
        <v>22</v>
      </c>
      <c r="H17" s="11" t="s">
        <v>135</v>
      </c>
      <c r="I17" s="11" t="s">
        <v>139</v>
      </c>
      <c r="J17" s="11" t="s">
        <v>17</v>
      </c>
      <c r="K17">
        <v>0</v>
      </c>
      <c r="L17">
        <v>0</v>
      </c>
    </row>
    <row r="18" spans="1:12" x14ac:dyDescent="0.3">
      <c r="A18" s="11" t="s">
        <v>8</v>
      </c>
      <c r="B18" s="11" t="s">
        <v>14</v>
      </c>
      <c r="C18" s="11" t="s">
        <v>41</v>
      </c>
      <c r="D18">
        <v>34</v>
      </c>
      <c r="E18" s="11" t="s">
        <v>25</v>
      </c>
      <c r="F18" s="11" t="s">
        <v>12</v>
      </c>
      <c r="G18">
        <v>57</v>
      </c>
      <c r="H18" s="11" t="s">
        <v>134</v>
      </c>
      <c r="I18" s="11" t="s">
        <v>139</v>
      </c>
      <c r="J18" s="11" t="s">
        <v>36</v>
      </c>
      <c r="K18">
        <v>0</v>
      </c>
      <c r="L18">
        <v>0</v>
      </c>
    </row>
    <row r="19" spans="1:12" x14ac:dyDescent="0.3">
      <c r="A19" s="11" t="s">
        <v>8</v>
      </c>
      <c r="B19" s="11" t="s">
        <v>14</v>
      </c>
      <c r="C19" s="11" t="s">
        <v>41</v>
      </c>
      <c r="D19">
        <v>34</v>
      </c>
      <c r="E19" s="11" t="s">
        <v>16</v>
      </c>
      <c r="F19" s="11" t="s">
        <v>35</v>
      </c>
      <c r="G19">
        <v>76</v>
      </c>
      <c r="H19" s="11" t="s">
        <v>134</v>
      </c>
      <c r="I19" s="11" t="s">
        <v>139</v>
      </c>
      <c r="J19" s="11" t="s">
        <v>42</v>
      </c>
      <c r="K19">
        <v>0</v>
      </c>
      <c r="L19">
        <v>0</v>
      </c>
    </row>
    <row r="20" spans="1:12" x14ac:dyDescent="0.3">
      <c r="A20" s="11" t="s">
        <v>8</v>
      </c>
      <c r="B20" s="11" t="s">
        <v>14</v>
      </c>
      <c r="C20" s="11" t="s">
        <v>41</v>
      </c>
      <c r="D20">
        <v>34</v>
      </c>
      <c r="E20" s="11" t="s">
        <v>16</v>
      </c>
      <c r="F20" s="11" t="s">
        <v>35</v>
      </c>
      <c r="G20">
        <v>16</v>
      </c>
      <c r="H20" s="11" t="s">
        <v>134</v>
      </c>
      <c r="I20" s="11" t="s">
        <v>139</v>
      </c>
      <c r="J20" s="11" t="s">
        <v>31</v>
      </c>
      <c r="K20">
        <v>0</v>
      </c>
      <c r="L20">
        <v>0</v>
      </c>
    </row>
    <row r="21" spans="1:12" x14ac:dyDescent="0.3">
      <c r="A21" s="11" t="s">
        <v>8</v>
      </c>
      <c r="B21" s="11" t="s">
        <v>14</v>
      </c>
      <c r="C21" s="11" t="s">
        <v>41</v>
      </c>
      <c r="D21">
        <v>34</v>
      </c>
      <c r="E21" s="11" t="s">
        <v>16</v>
      </c>
      <c r="F21" s="11" t="s">
        <v>35</v>
      </c>
      <c r="G21">
        <v>11</v>
      </c>
      <c r="H21" s="11" t="s">
        <v>134</v>
      </c>
      <c r="I21" s="11" t="s">
        <v>139</v>
      </c>
      <c r="J21" s="11" t="s">
        <v>43</v>
      </c>
      <c r="K21">
        <v>0</v>
      </c>
      <c r="L21">
        <v>0</v>
      </c>
    </row>
    <row r="22" spans="1:12" x14ac:dyDescent="0.3">
      <c r="A22" s="11" t="s">
        <v>8</v>
      </c>
      <c r="B22" s="11" t="s">
        <v>34</v>
      </c>
      <c r="C22" s="11" t="s">
        <v>44</v>
      </c>
      <c r="D22" t="s">
        <v>24</v>
      </c>
      <c r="E22" s="11" t="s">
        <v>16</v>
      </c>
      <c r="F22" s="11" t="s">
        <v>35</v>
      </c>
      <c r="G22">
        <v>24</v>
      </c>
      <c r="H22" s="11" t="s">
        <v>134</v>
      </c>
      <c r="I22" s="11" t="s">
        <v>139</v>
      </c>
      <c r="J22" s="11" t="s">
        <v>17</v>
      </c>
      <c r="K22">
        <v>0</v>
      </c>
      <c r="L22">
        <v>0</v>
      </c>
    </row>
    <row r="23" spans="1:12" x14ac:dyDescent="0.3">
      <c r="A23" s="11" t="s">
        <v>8</v>
      </c>
      <c r="B23" s="11" t="s">
        <v>14</v>
      </c>
      <c r="C23" s="11" t="s">
        <v>15</v>
      </c>
      <c r="D23">
        <v>34</v>
      </c>
      <c r="E23" s="11" t="s">
        <v>11</v>
      </c>
      <c r="F23" s="11" t="s">
        <v>12</v>
      </c>
      <c r="G23">
        <v>32</v>
      </c>
      <c r="H23" s="11" t="s">
        <v>133</v>
      </c>
      <c r="I23" s="11" t="s">
        <v>139</v>
      </c>
      <c r="J23" s="11" t="s">
        <v>21</v>
      </c>
      <c r="K23">
        <v>0</v>
      </c>
      <c r="L23">
        <v>0</v>
      </c>
    </row>
    <row r="24" spans="1:12" x14ac:dyDescent="0.3">
      <c r="A24" s="11" t="s">
        <v>8</v>
      </c>
      <c r="B24" s="11" t="s">
        <v>14</v>
      </c>
      <c r="C24" s="11" t="s">
        <v>15</v>
      </c>
      <c r="D24">
        <v>34</v>
      </c>
      <c r="E24" s="11" t="s">
        <v>11</v>
      </c>
      <c r="F24" s="11" t="s">
        <v>12</v>
      </c>
      <c r="G24">
        <v>32</v>
      </c>
      <c r="H24" s="11" t="s">
        <v>133</v>
      </c>
      <c r="I24" s="11" t="s">
        <v>139</v>
      </c>
      <c r="J24" s="11" t="s">
        <v>21</v>
      </c>
      <c r="K24">
        <v>0</v>
      </c>
      <c r="L24">
        <v>0</v>
      </c>
    </row>
    <row r="25" spans="1:12" x14ac:dyDescent="0.3">
      <c r="A25" s="11" t="s">
        <v>166</v>
      </c>
      <c r="B25" s="11" t="s">
        <v>29</v>
      </c>
      <c r="C25" s="11" t="s">
        <v>29</v>
      </c>
      <c r="D25">
        <v>125</v>
      </c>
      <c r="E25" s="11" t="s">
        <v>158</v>
      </c>
      <c r="F25" s="11" t="s">
        <v>12</v>
      </c>
      <c r="G25">
        <v>21</v>
      </c>
      <c r="H25" s="11" t="s">
        <v>133</v>
      </c>
      <c r="I25" s="11" t="s">
        <v>139</v>
      </c>
      <c r="J25" s="11" t="s">
        <v>17</v>
      </c>
      <c r="K25">
        <v>0</v>
      </c>
      <c r="L25">
        <v>0</v>
      </c>
    </row>
    <row r="26" spans="1:12" x14ac:dyDescent="0.3">
      <c r="A26" s="11" t="s">
        <v>8</v>
      </c>
      <c r="B26" s="11" t="s">
        <v>14</v>
      </c>
      <c r="C26" s="11" t="s">
        <v>45</v>
      </c>
      <c r="D26">
        <v>2</v>
      </c>
      <c r="E26" s="11" t="s">
        <v>11</v>
      </c>
      <c r="F26" s="11" t="s">
        <v>12</v>
      </c>
      <c r="G26">
        <v>23</v>
      </c>
      <c r="H26" s="11" t="s">
        <v>133</v>
      </c>
      <c r="I26" s="11" t="s">
        <v>139</v>
      </c>
      <c r="J26" s="11" t="s">
        <v>17</v>
      </c>
      <c r="K26">
        <v>0</v>
      </c>
      <c r="L26">
        <v>0</v>
      </c>
    </row>
    <row r="27" spans="1:12" x14ac:dyDescent="0.3">
      <c r="A27" s="11" t="s">
        <v>8</v>
      </c>
      <c r="B27" s="11" t="s">
        <v>34</v>
      </c>
      <c r="C27" s="11" t="s">
        <v>44</v>
      </c>
      <c r="D27" t="s">
        <v>24</v>
      </c>
      <c r="E27" s="11" t="s">
        <v>11</v>
      </c>
      <c r="F27" s="11" t="s">
        <v>12</v>
      </c>
      <c r="G27">
        <v>29</v>
      </c>
      <c r="H27" s="11" t="s">
        <v>132</v>
      </c>
      <c r="I27" s="11" t="s">
        <v>139</v>
      </c>
      <c r="J27" s="11" t="s">
        <v>13</v>
      </c>
      <c r="K27">
        <v>1</v>
      </c>
      <c r="L27">
        <v>0</v>
      </c>
    </row>
    <row r="28" spans="1:12" x14ac:dyDescent="0.3">
      <c r="A28" s="11" t="s">
        <v>46</v>
      </c>
      <c r="B28" s="11" t="s">
        <v>14</v>
      </c>
      <c r="C28" s="11" t="s">
        <v>14</v>
      </c>
      <c r="D28" t="s">
        <v>24</v>
      </c>
      <c r="E28" s="11" t="s">
        <v>25</v>
      </c>
      <c r="F28" s="11" t="s">
        <v>12</v>
      </c>
      <c r="G28">
        <v>45</v>
      </c>
      <c r="H28" s="11" t="s">
        <v>138</v>
      </c>
      <c r="I28" s="11" t="s">
        <v>139</v>
      </c>
      <c r="J28" s="11" t="s">
        <v>19</v>
      </c>
      <c r="K28">
        <v>0</v>
      </c>
      <c r="L28">
        <v>0</v>
      </c>
    </row>
    <row r="29" spans="1:12" x14ac:dyDescent="0.3">
      <c r="A29" s="11" t="s">
        <v>8</v>
      </c>
      <c r="B29" s="11" t="s">
        <v>29</v>
      </c>
      <c r="C29" s="11" t="s">
        <v>47</v>
      </c>
      <c r="D29">
        <v>27</v>
      </c>
      <c r="E29" s="11" t="s">
        <v>16</v>
      </c>
      <c r="F29" s="11" t="s">
        <v>35</v>
      </c>
      <c r="G29">
        <v>25</v>
      </c>
      <c r="H29" s="11" t="s">
        <v>138</v>
      </c>
      <c r="I29" s="11" t="s">
        <v>139</v>
      </c>
      <c r="J29" s="11" t="s">
        <v>13</v>
      </c>
      <c r="K29">
        <v>0</v>
      </c>
      <c r="L29">
        <v>0</v>
      </c>
    </row>
    <row r="30" spans="1:12" x14ac:dyDescent="0.3">
      <c r="A30" s="11" t="s">
        <v>8</v>
      </c>
      <c r="B30" s="11" t="s">
        <v>14</v>
      </c>
      <c r="C30" s="11" t="s">
        <v>14</v>
      </c>
      <c r="D30" t="s">
        <v>24</v>
      </c>
      <c r="E30" s="11" t="s">
        <v>11</v>
      </c>
      <c r="F30" s="11" t="s">
        <v>12</v>
      </c>
      <c r="G30">
        <v>22</v>
      </c>
      <c r="H30" s="11" t="s">
        <v>138</v>
      </c>
      <c r="I30" s="11" t="s">
        <v>139</v>
      </c>
      <c r="J30" s="11" t="s">
        <v>17</v>
      </c>
      <c r="K30">
        <v>1</v>
      </c>
      <c r="L30">
        <v>0</v>
      </c>
    </row>
    <row r="31" spans="1:12" x14ac:dyDescent="0.3">
      <c r="A31" s="11" t="s">
        <v>8</v>
      </c>
      <c r="B31" s="11" t="s">
        <v>29</v>
      </c>
      <c r="C31" s="11" t="s">
        <v>48</v>
      </c>
      <c r="D31">
        <v>4</v>
      </c>
      <c r="E31" s="11" t="s">
        <v>25</v>
      </c>
      <c r="F31" s="11" t="s">
        <v>12</v>
      </c>
      <c r="G31">
        <v>68</v>
      </c>
      <c r="H31" s="11" t="s">
        <v>136</v>
      </c>
      <c r="I31" s="11" t="s">
        <v>139</v>
      </c>
      <c r="J31" s="11" t="s">
        <v>27</v>
      </c>
      <c r="K31">
        <v>0</v>
      </c>
      <c r="L31">
        <v>0</v>
      </c>
    </row>
    <row r="32" spans="1:12" x14ac:dyDescent="0.3">
      <c r="A32" s="11" t="s">
        <v>8</v>
      </c>
      <c r="B32" s="11" t="s">
        <v>29</v>
      </c>
      <c r="C32" s="11" t="s">
        <v>48</v>
      </c>
      <c r="D32">
        <v>4</v>
      </c>
      <c r="E32" s="11" t="s">
        <v>16</v>
      </c>
      <c r="F32" s="11" t="s">
        <v>35</v>
      </c>
      <c r="G32">
        <v>64</v>
      </c>
      <c r="H32" s="11" t="s">
        <v>136</v>
      </c>
      <c r="I32" s="11" t="s">
        <v>139</v>
      </c>
      <c r="J32" s="11" t="s">
        <v>49</v>
      </c>
      <c r="K32">
        <v>0</v>
      </c>
      <c r="L32">
        <v>0</v>
      </c>
    </row>
    <row r="33" spans="1:12" x14ac:dyDescent="0.3">
      <c r="A33" s="11" t="s">
        <v>8</v>
      </c>
      <c r="B33" s="11" t="s">
        <v>50</v>
      </c>
      <c r="C33" s="11" t="s">
        <v>51</v>
      </c>
      <c r="D33" t="s">
        <v>24</v>
      </c>
      <c r="E33" s="11" t="s">
        <v>11</v>
      </c>
      <c r="F33" s="11" t="s">
        <v>12</v>
      </c>
      <c r="G33">
        <v>28</v>
      </c>
      <c r="H33" s="11" t="s">
        <v>135</v>
      </c>
      <c r="I33" s="11" t="s">
        <v>139</v>
      </c>
      <c r="J33" s="11" t="s">
        <v>13</v>
      </c>
      <c r="K33">
        <v>0</v>
      </c>
      <c r="L33">
        <v>0</v>
      </c>
    </row>
    <row r="34" spans="1:12" x14ac:dyDescent="0.3">
      <c r="A34" s="11" t="s">
        <v>166</v>
      </c>
      <c r="B34" s="11" t="s">
        <v>9</v>
      </c>
      <c r="C34" s="11" t="s">
        <v>52</v>
      </c>
      <c r="D34" t="s">
        <v>24</v>
      </c>
      <c r="E34" s="11" t="s">
        <v>158</v>
      </c>
      <c r="F34" s="11" t="s">
        <v>12</v>
      </c>
      <c r="G34">
        <v>55</v>
      </c>
      <c r="H34" s="11" t="s">
        <v>134</v>
      </c>
      <c r="I34" s="11" t="s">
        <v>139</v>
      </c>
      <c r="J34" s="11" t="s">
        <v>36</v>
      </c>
      <c r="K34">
        <v>0</v>
      </c>
      <c r="L34">
        <v>0</v>
      </c>
    </row>
    <row r="35" spans="1:12" x14ac:dyDescent="0.3">
      <c r="A35" s="11" t="s">
        <v>46</v>
      </c>
      <c r="B35" s="11" t="s">
        <v>14</v>
      </c>
      <c r="C35" s="11" t="s">
        <v>14</v>
      </c>
      <c r="D35" t="s">
        <v>24</v>
      </c>
      <c r="E35" s="11" t="s">
        <v>11</v>
      </c>
      <c r="F35" s="11" t="s">
        <v>12</v>
      </c>
      <c r="G35">
        <v>22</v>
      </c>
      <c r="H35" s="11" t="s">
        <v>133</v>
      </c>
      <c r="I35" s="11" t="s">
        <v>139</v>
      </c>
      <c r="J35" s="11" t="s">
        <v>17</v>
      </c>
      <c r="K35">
        <v>0</v>
      </c>
      <c r="L35">
        <v>0</v>
      </c>
    </row>
    <row r="36" spans="1:12" x14ac:dyDescent="0.3">
      <c r="A36" s="11" t="s">
        <v>8</v>
      </c>
      <c r="B36" s="11" t="s">
        <v>53</v>
      </c>
      <c r="C36" s="11" t="s">
        <v>54</v>
      </c>
      <c r="D36">
        <v>3</v>
      </c>
      <c r="E36" s="11" t="s">
        <v>11</v>
      </c>
      <c r="F36" s="11" t="s">
        <v>12</v>
      </c>
      <c r="G36">
        <v>26</v>
      </c>
      <c r="H36" s="11" t="s">
        <v>133</v>
      </c>
      <c r="I36" s="11" t="s">
        <v>139</v>
      </c>
      <c r="J36" s="11" t="s">
        <v>13</v>
      </c>
      <c r="K36">
        <v>0</v>
      </c>
      <c r="L36">
        <v>0</v>
      </c>
    </row>
    <row r="37" spans="1:12" x14ac:dyDescent="0.3">
      <c r="A37" s="11" t="s">
        <v>8</v>
      </c>
      <c r="B37" s="11" t="s">
        <v>29</v>
      </c>
      <c r="C37" s="11" t="s">
        <v>30</v>
      </c>
      <c r="D37">
        <v>27</v>
      </c>
      <c r="E37" s="11" t="s">
        <v>11</v>
      </c>
      <c r="F37" s="11" t="s">
        <v>55</v>
      </c>
      <c r="G37">
        <v>22</v>
      </c>
      <c r="H37" s="11" t="s">
        <v>133</v>
      </c>
      <c r="I37" s="11" t="s">
        <v>139</v>
      </c>
      <c r="J37" s="11" t="s">
        <v>17</v>
      </c>
      <c r="K37">
        <v>0</v>
      </c>
      <c r="L37">
        <v>0</v>
      </c>
    </row>
    <row r="38" spans="1:12" x14ac:dyDescent="0.3">
      <c r="A38" s="11" t="s">
        <v>8</v>
      </c>
      <c r="B38" s="11" t="s">
        <v>14</v>
      </c>
      <c r="C38" s="11" t="s">
        <v>45</v>
      </c>
      <c r="D38">
        <v>237</v>
      </c>
      <c r="E38" s="11" t="s">
        <v>11</v>
      </c>
      <c r="F38" s="11" t="s">
        <v>55</v>
      </c>
      <c r="G38">
        <v>45</v>
      </c>
      <c r="H38" s="11" t="s">
        <v>132</v>
      </c>
      <c r="I38" s="11" t="s">
        <v>139</v>
      </c>
      <c r="J38" s="11" t="s">
        <v>19</v>
      </c>
      <c r="K38">
        <v>1</v>
      </c>
      <c r="L38">
        <v>0</v>
      </c>
    </row>
    <row r="39" spans="1:12" x14ac:dyDescent="0.3">
      <c r="A39" s="11" t="s">
        <v>166</v>
      </c>
      <c r="B39" s="11" t="s">
        <v>29</v>
      </c>
      <c r="C39" s="11" t="s">
        <v>57</v>
      </c>
      <c r="D39">
        <v>813</v>
      </c>
      <c r="E39" s="11" t="s">
        <v>158</v>
      </c>
      <c r="F39" s="11" t="s">
        <v>55</v>
      </c>
      <c r="G39">
        <v>45</v>
      </c>
      <c r="H39" s="11" t="s">
        <v>132</v>
      </c>
      <c r="I39" s="11" t="s">
        <v>139</v>
      </c>
      <c r="J39" s="11" t="s">
        <v>19</v>
      </c>
      <c r="K39">
        <v>0</v>
      </c>
      <c r="L39">
        <v>0</v>
      </c>
    </row>
    <row r="40" spans="1:12" x14ac:dyDescent="0.3">
      <c r="A40" s="11" t="s">
        <v>8</v>
      </c>
      <c r="B40" s="11" t="s">
        <v>53</v>
      </c>
      <c r="C40" s="11" t="s">
        <v>40</v>
      </c>
      <c r="D40">
        <v>3</v>
      </c>
      <c r="E40" s="11" t="s">
        <v>25</v>
      </c>
      <c r="F40" s="11" t="s">
        <v>55</v>
      </c>
      <c r="G40">
        <v>29</v>
      </c>
      <c r="H40" s="11" t="s">
        <v>138</v>
      </c>
      <c r="I40" s="11" t="s">
        <v>139</v>
      </c>
      <c r="J40" s="11" t="s">
        <v>13</v>
      </c>
      <c r="K40">
        <v>0</v>
      </c>
      <c r="L40">
        <v>0</v>
      </c>
    </row>
    <row r="41" spans="1:12" x14ac:dyDescent="0.3">
      <c r="A41" s="11" t="s">
        <v>8</v>
      </c>
      <c r="B41" s="11" t="s">
        <v>53</v>
      </c>
      <c r="C41" s="11" t="s">
        <v>40</v>
      </c>
      <c r="D41">
        <v>1</v>
      </c>
      <c r="E41" s="11" t="s">
        <v>11</v>
      </c>
      <c r="F41" s="11" t="s">
        <v>55</v>
      </c>
      <c r="G41">
        <v>40</v>
      </c>
      <c r="H41" s="11" t="s">
        <v>137</v>
      </c>
      <c r="I41" s="11" t="s">
        <v>139</v>
      </c>
      <c r="J41" s="11" t="s">
        <v>28</v>
      </c>
      <c r="K41">
        <v>0</v>
      </c>
      <c r="L41">
        <v>0</v>
      </c>
    </row>
    <row r="42" spans="1:12" x14ac:dyDescent="0.3">
      <c r="A42" s="11" t="s">
        <v>166</v>
      </c>
      <c r="B42" s="11" t="s">
        <v>50</v>
      </c>
      <c r="C42" s="11" t="s">
        <v>50</v>
      </c>
      <c r="D42" t="s">
        <v>24</v>
      </c>
      <c r="E42" s="11" t="s">
        <v>158</v>
      </c>
      <c r="F42" s="11" t="s">
        <v>35</v>
      </c>
      <c r="G42">
        <v>55</v>
      </c>
      <c r="H42" s="11" t="s">
        <v>137</v>
      </c>
      <c r="I42" s="11" t="s">
        <v>139</v>
      </c>
      <c r="J42" s="11" t="s">
        <v>36</v>
      </c>
      <c r="K42">
        <v>0</v>
      </c>
      <c r="L42">
        <v>0</v>
      </c>
    </row>
    <row r="43" spans="1:12" x14ac:dyDescent="0.3">
      <c r="A43" s="11" t="s">
        <v>46</v>
      </c>
      <c r="B43" s="11" t="s">
        <v>29</v>
      </c>
      <c r="C43" s="11" t="s">
        <v>29</v>
      </c>
      <c r="D43" t="s">
        <v>24</v>
      </c>
      <c r="E43" s="11" t="s">
        <v>16</v>
      </c>
      <c r="F43" s="11" t="s">
        <v>12</v>
      </c>
      <c r="G43">
        <v>26</v>
      </c>
      <c r="H43" s="11" t="s">
        <v>138</v>
      </c>
      <c r="I43" s="11" t="s">
        <v>140</v>
      </c>
      <c r="J43" s="11" t="s">
        <v>13</v>
      </c>
      <c r="K43">
        <v>0</v>
      </c>
      <c r="L43">
        <v>0</v>
      </c>
    </row>
    <row r="44" spans="1:12" x14ac:dyDescent="0.3">
      <c r="A44" s="11" t="s">
        <v>22</v>
      </c>
      <c r="B44" s="11" t="s">
        <v>9</v>
      </c>
      <c r="C44" s="11" t="s">
        <v>23</v>
      </c>
      <c r="D44">
        <v>150</v>
      </c>
      <c r="E44" s="11" t="s">
        <v>11</v>
      </c>
      <c r="F44" s="11" t="s">
        <v>12</v>
      </c>
      <c r="G44">
        <v>49</v>
      </c>
      <c r="H44" s="11" t="s">
        <v>138</v>
      </c>
      <c r="I44" s="11" t="s">
        <v>140</v>
      </c>
      <c r="J44" s="11" t="s">
        <v>19</v>
      </c>
      <c r="K44">
        <v>1</v>
      </c>
      <c r="L44">
        <v>0</v>
      </c>
    </row>
    <row r="45" spans="1:12" x14ac:dyDescent="0.3">
      <c r="A45" s="11" t="s">
        <v>8</v>
      </c>
      <c r="B45" s="11" t="s">
        <v>50</v>
      </c>
      <c r="C45" s="11" t="s">
        <v>58</v>
      </c>
      <c r="D45">
        <v>2</v>
      </c>
      <c r="E45" s="11" t="s">
        <v>11</v>
      </c>
      <c r="F45" s="11" t="s">
        <v>12</v>
      </c>
      <c r="G45">
        <v>29</v>
      </c>
      <c r="H45" s="11" t="s">
        <v>137</v>
      </c>
      <c r="I45" s="11" t="s">
        <v>140</v>
      </c>
      <c r="J45" s="11" t="s">
        <v>13</v>
      </c>
      <c r="K45">
        <v>0</v>
      </c>
      <c r="L45">
        <v>0</v>
      </c>
    </row>
    <row r="46" spans="1:12" x14ac:dyDescent="0.3">
      <c r="A46" s="11" t="s">
        <v>166</v>
      </c>
      <c r="B46" s="11" t="s">
        <v>34</v>
      </c>
      <c r="C46" s="11" t="s">
        <v>59</v>
      </c>
      <c r="D46" t="s">
        <v>24</v>
      </c>
      <c r="E46" s="11" t="s">
        <v>158</v>
      </c>
      <c r="F46" s="11" t="s">
        <v>12</v>
      </c>
      <c r="G46">
        <v>53</v>
      </c>
      <c r="H46" s="11" t="s">
        <v>137</v>
      </c>
      <c r="I46" s="11" t="s">
        <v>140</v>
      </c>
      <c r="J46" s="11" t="s">
        <v>60</v>
      </c>
      <c r="K46">
        <v>0</v>
      </c>
      <c r="L46">
        <v>0</v>
      </c>
    </row>
    <row r="47" spans="1:12" x14ac:dyDescent="0.3">
      <c r="A47" s="11" t="s">
        <v>8</v>
      </c>
      <c r="B47" s="11" t="s">
        <v>14</v>
      </c>
      <c r="C47" s="11" t="s">
        <v>61</v>
      </c>
      <c r="D47">
        <v>34</v>
      </c>
      <c r="E47" s="11" t="s">
        <v>62</v>
      </c>
      <c r="F47" s="11" t="s">
        <v>12</v>
      </c>
      <c r="G47">
        <v>21</v>
      </c>
      <c r="H47" s="11" t="s">
        <v>137</v>
      </c>
      <c r="I47" s="11" t="s">
        <v>140</v>
      </c>
      <c r="J47" s="11" t="s">
        <v>17</v>
      </c>
      <c r="K47">
        <v>0</v>
      </c>
      <c r="L47">
        <v>0</v>
      </c>
    </row>
    <row r="48" spans="1:12" x14ac:dyDescent="0.3">
      <c r="A48" s="11" t="s">
        <v>8</v>
      </c>
      <c r="B48" s="11" t="s">
        <v>40</v>
      </c>
      <c r="C48" s="11" t="s">
        <v>40</v>
      </c>
      <c r="D48">
        <v>3</v>
      </c>
      <c r="E48" s="11" t="s">
        <v>11</v>
      </c>
      <c r="F48" s="11" t="s">
        <v>12</v>
      </c>
      <c r="G48">
        <v>21</v>
      </c>
      <c r="H48" s="11" t="s">
        <v>134</v>
      </c>
      <c r="I48" s="11" t="s">
        <v>140</v>
      </c>
      <c r="J48" s="11" t="s">
        <v>17</v>
      </c>
      <c r="K48">
        <v>0</v>
      </c>
      <c r="L48">
        <v>0</v>
      </c>
    </row>
    <row r="49" spans="1:12" x14ac:dyDescent="0.3">
      <c r="A49" s="11" t="s">
        <v>46</v>
      </c>
      <c r="B49" s="11" t="s">
        <v>9</v>
      </c>
      <c r="C49" s="11" t="s">
        <v>10</v>
      </c>
      <c r="D49">
        <v>21</v>
      </c>
      <c r="E49" s="11" t="s">
        <v>25</v>
      </c>
      <c r="F49" s="11" t="s">
        <v>12</v>
      </c>
      <c r="G49">
        <v>21</v>
      </c>
      <c r="H49" s="11" t="s">
        <v>132</v>
      </c>
      <c r="I49" s="11" t="s">
        <v>140</v>
      </c>
      <c r="J49" s="11" t="s">
        <v>17</v>
      </c>
      <c r="K49">
        <v>0</v>
      </c>
      <c r="L49">
        <v>0</v>
      </c>
    </row>
    <row r="50" spans="1:12" x14ac:dyDescent="0.3">
      <c r="A50" s="11" t="s">
        <v>8</v>
      </c>
      <c r="B50" s="11" t="s">
        <v>9</v>
      </c>
      <c r="C50" s="11" t="s">
        <v>23</v>
      </c>
      <c r="D50">
        <v>21</v>
      </c>
      <c r="E50" s="11" t="s">
        <v>11</v>
      </c>
      <c r="F50" s="11" t="s">
        <v>12</v>
      </c>
      <c r="G50">
        <v>38</v>
      </c>
      <c r="H50" s="11" t="s">
        <v>132</v>
      </c>
      <c r="I50" s="11" t="s">
        <v>140</v>
      </c>
      <c r="J50" s="11" t="s">
        <v>32</v>
      </c>
      <c r="K50">
        <v>1</v>
      </c>
      <c r="L50">
        <v>0</v>
      </c>
    </row>
    <row r="51" spans="1:12" x14ac:dyDescent="0.3">
      <c r="A51" s="11" t="s">
        <v>22</v>
      </c>
      <c r="B51" s="11" t="s">
        <v>9</v>
      </c>
      <c r="C51" s="11" t="s">
        <v>63</v>
      </c>
      <c r="D51">
        <v>21</v>
      </c>
      <c r="E51" s="11" t="s">
        <v>11</v>
      </c>
      <c r="F51" s="11" t="s">
        <v>12</v>
      </c>
      <c r="G51">
        <v>27</v>
      </c>
      <c r="H51" s="11" t="s">
        <v>138</v>
      </c>
      <c r="I51" s="11" t="s">
        <v>140</v>
      </c>
      <c r="J51" s="11" t="s">
        <v>13</v>
      </c>
      <c r="K51">
        <v>1</v>
      </c>
      <c r="L51">
        <v>0</v>
      </c>
    </row>
    <row r="52" spans="1:12" x14ac:dyDescent="0.3">
      <c r="A52" s="11" t="s">
        <v>38</v>
      </c>
      <c r="B52" s="11" t="s">
        <v>34</v>
      </c>
      <c r="C52" s="11" t="s">
        <v>34</v>
      </c>
      <c r="D52" t="s">
        <v>24</v>
      </c>
      <c r="E52" s="11" t="s">
        <v>39</v>
      </c>
      <c r="F52" s="11" t="s">
        <v>35</v>
      </c>
      <c r="G52">
        <v>32</v>
      </c>
      <c r="H52" s="11" t="s">
        <v>134</v>
      </c>
      <c r="I52" s="11" t="s">
        <v>140</v>
      </c>
      <c r="J52" s="11" t="s">
        <v>21</v>
      </c>
      <c r="K52">
        <v>0</v>
      </c>
      <c r="L52">
        <v>0</v>
      </c>
    </row>
    <row r="53" spans="1:12" x14ac:dyDescent="0.3">
      <c r="A53" s="11" t="s">
        <v>22</v>
      </c>
      <c r="B53" s="11" t="s">
        <v>14</v>
      </c>
      <c r="C53" s="11" t="s">
        <v>45</v>
      </c>
      <c r="D53">
        <v>237</v>
      </c>
      <c r="E53" s="11" t="s">
        <v>25</v>
      </c>
      <c r="F53" s="11" t="s">
        <v>12</v>
      </c>
      <c r="G53">
        <v>39</v>
      </c>
      <c r="H53" s="11" t="s">
        <v>133</v>
      </c>
      <c r="I53" s="11" t="s">
        <v>140</v>
      </c>
      <c r="J53" s="11" t="s">
        <v>32</v>
      </c>
      <c r="K53">
        <v>0</v>
      </c>
      <c r="L53">
        <v>0</v>
      </c>
    </row>
    <row r="54" spans="1:12" x14ac:dyDescent="0.3">
      <c r="A54" s="11" t="s">
        <v>8</v>
      </c>
      <c r="B54" s="11" t="s">
        <v>34</v>
      </c>
      <c r="C54" s="11" t="s">
        <v>34</v>
      </c>
      <c r="D54" t="s">
        <v>24</v>
      </c>
      <c r="E54" s="11" t="s">
        <v>11</v>
      </c>
      <c r="F54" s="11" t="s">
        <v>12</v>
      </c>
      <c r="G54">
        <v>28</v>
      </c>
      <c r="H54" s="11" t="s">
        <v>133</v>
      </c>
      <c r="I54" s="11" t="s">
        <v>140</v>
      </c>
      <c r="J54" s="11" t="s">
        <v>13</v>
      </c>
      <c r="K54">
        <v>0</v>
      </c>
      <c r="L54">
        <v>0</v>
      </c>
    </row>
    <row r="55" spans="1:12" x14ac:dyDescent="0.3">
      <c r="A55" s="11" t="s">
        <v>166</v>
      </c>
      <c r="B55" s="11" t="s">
        <v>29</v>
      </c>
      <c r="C55" s="11" t="s">
        <v>48</v>
      </c>
      <c r="D55">
        <v>738</v>
      </c>
      <c r="E55" s="11" t="s">
        <v>158</v>
      </c>
      <c r="F55" s="11" t="s">
        <v>12</v>
      </c>
      <c r="G55">
        <v>27</v>
      </c>
      <c r="H55" s="11" t="s">
        <v>132</v>
      </c>
      <c r="I55" s="11" t="s">
        <v>140</v>
      </c>
      <c r="J55" s="11" t="s">
        <v>13</v>
      </c>
      <c r="K55">
        <v>0</v>
      </c>
      <c r="L55">
        <v>0</v>
      </c>
    </row>
    <row r="56" spans="1:12" x14ac:dyDescent="0.3">
      <c r="A56" s="11" t="s">
        <v>8</v>
      </c>
      <c r="B56" s="11" t="s">
        <v>64</v>
      </c>
      <c r="C56" s="11" t="s">
        <v>65</v>
      </c>
      <c r="D56">
        <v>248</v>
      </c>
      <c r="E56" s="11" t="s">
        <v>11</v>
      </c>
      <c r="F56" s="11" t="s">
        <v>12</v>
      </c>
      <c r="G56">
        <v>31</v>
      </c>
      <c r="H56" s="11" t="s">
        <v>132</v>
      </c>
      <c r="I56" s="11" t="s">
        <v>140</v>
      </c>
      <c r="J56" s="11" t="s">
        <v>21</v>
      </c>
      <c r="K56">
        <v>1</v>
      </c>
      <c r="L56">
        <v>0</v>
      </c>
    </row>
    <row r="57" spans="1:12" x14ac:dyDescent="0.3">
      <c r="A57" s="11" t="s">
        <v>38</v>
      </c>
      <c r="B57" s="11" t="s">
        <v>29</v>
      </c>
      <c r="C57" s="11" t="s">
        <v>29</v>
      </c>
      <c r="D57">
        <v>3</v>
      </c>
      <c r="E57" s="11" t="s">
        <v>39</v>
      </c>
      <c r="F57" s="11" t="s">
        <v>12</v>
      </c>
      <c r="G57">
        <v>48</v>
      </c>
      <c r="H57" s="11" t="s">
        <v>132</v>
      </c>
      <c r="I57" s="11" t="s">
        <v>140</v>
      </c>
      <c r="J57" s="11" t="s">
        <v>19</v>
      </c>
      <c r="K57">
        <v>0</v>
      </c>
      <c r="L57">
        <v>0</v>
      </c>
    </row>
    <row r="58" spans="1:12" x14ac:dyDescent="0.3">
      <c r="A58" s="11" t="s">
        <v>8</v>
      </c>
      <c r="B58" s="11" t="s">
        <v>9</v>
      </c>
      <c r="C58" s="11" t="s">
        <v>23</v>
      </c>
      <c r="D58">
        <v>906</v>
      </c>
      <c r="E58" s="11" t="s">
        <v>11</v>
      </c>
      <c r="F58" s="11" t="s">
        <v>12</v>
      </c>
      <c r="G58">
        <v>33</v>
      </c>
      <c r="H58" s="11" t="s">
        <v>138</v>
      </c>
      <c r="I58" s="11" t="s">
        <v>140</v>
      </c>
      <c r="J58" s="11" t="s">
        <v>21</v>
      </c>
      <c r="K58">
        <v>1</v>
      </c>
      <c r="L58">
        <v>0</v>
      </c>
    </row>
    <row r="59" spans="1:12" x14ac:dyDescent="0.3">
      <c r="A59" s="11" t="s">
        <v>38</v>
      </c>
      <c r="B59" s="11" t="s">
        <v>14</v>
      </c>
      <c r="C59" s="11" t="s">
        <v>61</v>
      </c>
      <c r="D59">
        <v>34</v>
      </c>
      <c r="E59" s="11" t="s">
        <v>39</v>
      </c>
      <c r="F59" s="11" t="s">
        <v>12</v>
      </c>
      <c r="G59">
        <v>34</v>
      </c>
      <c r="H59" s="11" t="s">
        <v>137</v>
      </c>
      <c r="I59" s="11" t="s">
        <v>140</v>
      </c>
      <c r="J59" s="11" t="s">
        <v>21</v>
      </c>
      <c r="K59">
        <v>0</v>
      </c>
      <c r="L59">
        <v>0</v>
      </c>
    </row>
    <row r="60" spans="1:12" x14ac:dyDescent="0.3">
      <c r="A60" s="11" t="s">
        <v>22</v>
      </c>
      <c r="B60" s="11" t="s">
        <v>14</v>
      </c>
      <c r="C60" s="11" t="s">
        <v>66</v>
      </c>
      <c r="D60">
        <v>245</v>
      </c>
      <c r="E60" s="11" t="s">
        <v>11</v>
      </c>
      <c r="F60" s="11" t="s">
        <v>12</v>
      </c>
      <c r="G60">
        <v>33</v>
      </c>
      <c r="H60" s="11" t="s">
        <v>136</v>
      </c>
      <c r="I60" s="11" t="s">
        <v>140</v>
      </c>
      <c r="J60" s="11" t="s">
        <v>21</v>
      </c>
      <c r="K60">
        <v>0</v>
      </c>
      <c r="L60">
        <v>0</v>
      </c>
    </row>
    <row r="61" spans="1:12" x14ac:dyDescent="0.3">
      <c r="A61" s="11" t="s">
        <v>166</v>
      </c>
      <c r="B61" s="11" t="s">
        <v>14</v>
      </c>
      <c r="C61" s="11" t="s">
        <v>67</v>
      </c>
      <c r="D61" t="s">
        <v>24</v>
      </c>
      <c r="E61" s="11" t="s">
        <v>158</v>
      </c>
      <c r="F61" s="11" t="s">
        <v>35</v>
      </c>
      <c r="G61">
        <v>46</v>
      </c>
      <c r="H61" s="11" t="s">
        <v>136</v>
      </c>
      <c r="I61" s="11" t="s">
        <v>140</v>
      </c>
      <c r="J61" s="11" t="s">
        <v>19</v>
      </c>
      <c r="K61">
        <v>0</v>
      </c>
      <c r="L61">
        <v>0</v>
      </c>
    </row>
    <row r="62" spans="1:12" x14ac:dyDescent="0.3">
      <c r="A62" s="11" t="s">
        <v>166</v>
      </c>
      <c r="B62" s="11" t="s">
        <v>29</v>
      </c>
      <c r="C62" s="11" t="s">
        <v>29</v>
      </c>
      <c r="D62">
        <v>1</v>
      </c>
      <c r="E62" s="11" t="s">
        <v>158</v>
      </c>
      <c r="F62" s="11" t="s">
        <v>12</v>
      </c>
      <c r="G62" t="s">
        <v>68</v>
      </c>
      <c r="H62" s="11" t="s">
        <v>135</v>
      </c>
      <c r="I62" s="11" t="s">
        <v>140</v>
      </c>
      <c r="J62" s="11" t="s">
        <v>68</v>
      </c>
      <c r="K62">
        <v>0</v>
      </c>
      <c r="L62">
        <v>0</v>
      </c>
    </row>
    <row r="63" spans="1:12" x14ac:dyDescent="0.3">
      <c r="A63" s="11" t="s">
        <v>8</v>
      </c>
      <c r="B63" s="11" t="s">
        <v>9</v>
      </c>
      <c r="C63" s="11" t="s">
        <v>23</v>
      </c>
      <c r="D63">
        <v>160</v>
      </c>
      <c r="E63" s="11" t="s">
        <v>62</v>
      </c>
      <c r="F63" s="11" t="s">
        <v>35</v>
      </c>
      <c r="G63" t="s">
        <v>68</v>
      </c>
      <c r="H63" s="11" t="s">
        <v>133</v>
      </c>
      <c r="I63" s="11" t="s">
        <v>140</v>
      </c>
      <c r="J63" s="11" t="s">
        <v>68</v>
      </c>
      <c r="K63">
        <v>0</v>
      </c>
      <c r="L63">
        <v>0</v>
      </c>
    </row>
    <row r="64" spans="1:12" x14ac:dyDescent="0.3">
      <c r="A64" s="11" t="s">
        <v>8</v>
      </c>
      <c r="B64" s="11" t="s">
        <v>9</v>
      </c>
      <c r="C64" s="11" t="s">
        <v>69</v>
      </c>
      <c r="D64">
        <v>142</v>
      </c>
      <c r="E64" s="11" t="s">
        <v>11</v>
      </c>
      <c r="F64" s="11" t="s">
        <v>12</v>
      </c>
      <c r="G64">
        <v>27</v>
      </c>
      <c r="H64" s="11" t="s">
        <v>132</v>
      </c>
      <c r="I64" s="11" t="s">
        <v>140</v>
      </c>
      <c r="J64" s="11" t="s">
        <v>13</v>
      </c>
      <c r="K64">
        <v>1</v>
      </c>
      <c r="L64">
        <v>0</v>
      </c>
    </row>
    <row r="65" spans="1:12" x14ac:dyDescent="0.3">
      <c r="A65" s="11" t="s">
        <v>8</v>
      </c>
      <c r="B65" s="11" t="s">
        <v>9</v>
      </c>
      <c r="C65" s="11" t="s">
        <v>69</v>
      </c>
      <c r="D65">
        <v>142</v>
      </c>
      <c r="E65" s="11" t="s">
        <v>11</v>
      </c>
      <c r="F65" s="11" t="s">
        <v>12</v>
      </c>
      <c r="G65">
        <v>19</v>
      </c>
      <c r="H65" s="11" t="s">
        <v>132</v>
      </c>
      <c r="I65" s="11" t="s">
        <v>140</v>
      </c>
      <c r="J65" s="11" t="s">
        <v>31</v>
      </c>
      <c r="K65">
        <v>1</v>
      </c>
      <c r="L65">
        <v>1</v>
      </c>
    </row>
    <row r="66" spans="1:12" x14ac:dyDescent="0.3">
      <c r="A66" s="11" t="s">
        <v>8</v>
      </c>
      <c r="B66" s="11" t="s">
        <v>64</v>
      </c>
      <c r="C66" s="11" t="s">
        <v>70</v>
      </c>
      <c r="D66" t="s">
        <v>24</v>
      </c>
      <c r="E66" s="11" t="s">
        <v>11</v>
      </c>
      <c r="F66" s="11" t="s">
        <v>12</v>
      </c>
      <c r="G66">
        <v>26</v>
      </c>
      <c r="H66" s="11" t="s">
        <v>133</v>
      </c>
      <c r="I66" s="11" t="s">
        <v>140</v>
      </c>
      <c r="J66" s="11" t="s">
        <v>13</v>
      </c>
      <c r="K66">
        <v>0</v>
      </c>
      <c r="L66">
        <v>0</v>
      </c>
    </row>
    <row r="67" spans="1:12" x14ac:dyDescent="0.3">
      <c r="A67" s="11" t="s">
        <v>8</v>
      </c>
      <c r="B67" s="11" t="s">
        <v>14</v>
      </c>
      <c r="C67" s="11" t="s">
        <v>71</v>
      </c>
      <c r="D67">
        <v>23</v>
      </c>
      <c r="E67" s="11" t="s">
        <v>25</v>
      </c>
      <c r="F67" s="11" t="s">
        <v>12</v>
      </c>
      <c r="G67">
        <v>26</v>
      </c>
      <c r="H67" s="11" t="s">
        <v>132</v>
      </c>
      <c r="I67" s="11" t="s">
        <v>140</v>
      </c>
      <c r="J67" s="11" t="s">
        <v>13</v>
      </c>
      <c r="K67">
        <v>0</v>
      </c>
      <c r="L67">
        <v>0</v>
      </c>
    </row>
    <row r="68" spans="1:12" x14ac:dyDescent="0.3">
      <c r="A68" s="11" t="s">
        <v>22</v>
      </c>
      <c r="B68" s="11" t="s">
        <v>40</v>
      </c>
      <c r="C68" s="11" t="s">
        <v>72</v>
      </c>
      <c r="D68" t="s">
        <v>24</v>
      </c>
      <c r="E68" s="11" t="s">
        <v>11</v>
      </c>
      <c r="F68" s="11" t="s">
        <v>12</v>
      </c>
      <c r="G68">
        <v>27</v>
      </c>
      <c r="H68" s="11" t="s">
        <v>132</v>
      </c>
      <c r="I68" s="11" t="s">
        <v>140</v>
      </c>
      <c r="J68" s="11" t="s">
        <v>13</v>
      </c>
      <c r="K68">
        <v>1</v>
      </c>
      <c r="L68">
        <v>0</v>
      </c>
    </row>
    <row r="69" spans="1:12" x14ac:dyDescent="0.3">
      <c r="A69" s="11" t="s">
        <v>166</v>
      </c>
      <c r="B69" s="11" t="s">
        <v>29</v>
      </c>
      <c r="C69" s="11" t="s">
        <v>48</v>
      </c>
      <c r="D69">
        <v>142</v>
      </c>
      <c r="E69" s="11" t="s">
        <v>11</v>
      </c>
      <c r="F69" s="11" t="s">
        <v>12</v>
      </c>
      <c r="G69">
        <v>18</v>
      </c>
      <c r="H69" s="11" t="s">
        <v>132</v>
      </c>
      <c r="I69" s="11" t="s">
        <v>140</v>
      </c>
      <c r="J69" s="11" t="s">
        <v>31</v>
      </c>
      <c r="K69">
        <v>1</v>
      </c>
      <c r="L69">
        <v>1</v>
      </c>
    </row>
    <row r="70" spans="1:12" x14ac:dyDescent="0.3">
      <c r="A70" s="11" t="s">
        <v>8</v>
      </c>
      <c r="B70" s="11" t="s">
        <v>9</v>
      </c>
      <c r="C70" s="11" t="s">
        <v>69</v>
      </c>
      <c r="D70">
        <v>142</v>
      </c>
      <c r="E70" s="11" t="s">
        <v>11</v>
      </c>
      <c r="F70" s="11" t="s">
        <v>12</v>
      </c>
      <c r="G70">
        <v>27</v>
      </c>
      <c r="H70" s="11" t="s">
        <v>132</v>
      </c>
      <c r="I70" s="11" t="s">
        <v>140</v>
      </c>
      <c r="J70" s="11" t="s">
        <v>13</v>
      </c>
      <c r="K70">
        <v>1</v>
      </c>
      <c r="L70">
        <v>0</v>
      </c>
    </row>
    <row r="71" spans="1:12" x14ac:dyDescent="0.3">
      <c r="A71" s="11" t="s">
        <v>8</v>
      </c>
      <c r="B71" s="11" t="s">
        <v>9</v>
      </c>
      <c r="C71" s="11" t="s">
        <v>69</v>
      </c>
      <c r="D71">
        <v>142</v>
      </c>
      <c r="E71" s="11" t="s">
        <v>11</v>
      </c>
      <c r="F71" s="11" t="s">
        <v>12</v>
      </c>
      <c r="G71">
        <v>19</v>
      </c>
      <c r="H71" s="11" t="s">
        <v>132</v>
      </c>
      <c r="I71" s="11" t="s">
        <v>140</v>
      </c>
      <c r="J71" s="11" t="s">
        <v>31</v>
      </c>
      <c r="K71">
        <v>1</v>
      </c>
      <c r="L71">
        <v>1</v>
      </c>
    </row>
    <row r="72" spans="1:12" x14ac:dyDescent="0.3">
      <c r="A72" s="11" t="s">
        <v>8</v>
      </c>
      <c r="B72" s="11" t="s">
        <v>64</v>
      </c>
      <c r="C72" s="11" t="s">
        <v>73</v>
      </c>
      <c r="D72">
        <v>36</v>
      </c>
      <c r="E72" s="11" t="s">
        <v>11</v>
      </c>
      <c r="F72" s="11" t="s">
        <v>12</v>
      </c>
      <c r="G72">
        <v>63</v>
      </c>
      <c r="H72" s="11" t="s">
        <v>138</v>
      </c>
      <c r="I72" s="11" t="s">
        <v>140</v>
      </c>
      <c r="J72" s="11" t="s">
        <v>49</v>
      </c>
      <c r="K72">
        <v>1</v>
      </c>
      <c r="L72">
        <v>0</v>
      </c>
    </row>
    <row r="73" spans="1:12" x14ac:dyDescent="0.3">
      <c r="A73" s="11" t="s">
        <v>8</v>
      </c>
      <c r="B73" s="11" t="s">
        <v>29</v>
      </c>
      <c r="C73" s="11" t="s">
        <v>74</v>
      </c>
      <c r="D73">
        <v>4</v>
      </c>
      <c r="E73" s="11" t="s">
        <v>11</v>
      </c>
      <c r="F73" s="11" t="s">
        <v>12</v>
      </c>
      <c r="G73" t="s">
        <v>68</v>
      </c>
      <c r="H73" s="11" t="s">
        <v>138</v>
      </c>
      <c r="I73" s="11" t="s">
        <v>140</v>
      </c>
      <c r="J73" s="11" t="s">
        <v>68</v>
      </c>
      <c r="K73">
        <v>1</v>
      </c>
      <c r="L73">
        <v>0</v>
      </c>
    </row>
    <row r="74" spans="1:12" x14ac:dyDescent="0.3">
      <c r="A74" s="11" t="s">
        <v>8</v>
      </c>
      <c r="B74" s="11" t="s">
        <v>14</v>
      </c>
      <c r="C74" s="11" t="s">
        <v>15</v>
      </c>
      <c r="D74">
        <v>34</v>
      </c>
      <c r="E74" s="11" t="s">
        <v>11</v>
      </c>
      <c r="F74" s="11" t="s">
        <v>12</v>
      </c>
      <c r="G74">
        <v>44</v>
      </c>
      <c r="H74" s="11" t="s">
        <v>138</v>
      </c>
      <c r="I74" s="11" t="s">
        <v>140</v>
      </c>
      <c r="J74" s="11" t="s">
        <v>28</v>
      </c>
      <c r="K74">
        <v>1</v>
      </c>
      <c r="L74">
        <v>0</v>
      </c>
    </row>
    <row r="75" spans="1:12" x14ac:dyDescent="0.3">
      <c r="A75" s="11" t="s">
        <v>22</v>
      </c>
      <c r="B75" s="11" t="s">
        <v>9</v>
      </c>
      <c r="C75" s="11" t="s">
        <v>75</v>
      </c>
      <c r="D75">
        <v>158</v>
      </c>
      <c r="E75" s="11" t="s">
        <v>11</v>
      </c>
      <c r="F75" s="11" t="s">
        <v>12</v>
      </c>
      <c r="G75">
        <v>62</v>
      </c>
      <c r="H75" s="11" t="s">
        <v>137</v>
      </c>
      <c r="I75" s="11" t="s">
        <v>140</v>
      </c>
      <c r="J75" s="11" t="s">
        <v>49</v>
      </c>
      <c r="K75">
        <v>0</v>
      </c>
      <c r="L75">
        <v>0</v>
      </c>
    </row>
    <row r="76" spans="1:12" x14ac:dyDescent="0.3">
      <c r="A76" s="11" t="s">
        <v>166</v>
      </c>
      <c r="B76" s="11" t="s">
        <v>14</v>
      </c>
      <c r="C76" s="11" t="s">
        <v>45</v>
      </c>
      <c r="D76" t="s">
        <v>24</v>
      </c>
      <c r="E76" s="11" t="s">
        <v>158</v>
      </c>
      <c r="F76" s="11" t="s">
        <v>12</v>
      </c>
      <c r="G76">
        <v>68</v>
      </c>
      <c r="H76" s="11" t="s">
        <v>137</v>
      </c>
      <c r="I76" s="11" t="s">
        <v>140</v>
      </c>
      <c r="J76" s="11" t="s">
        <v>27</v>
      </c>
      <c r="K76">
        <v>0</v>
      </c>
      <c r="L76">
        <v>0</v>
      </c>
    </row>
    <row r="77" spans="1:12" x14ac:dyDescent="0.3">
      <c r="A77" s="11" t="s">
        <v>22</v>
      </c>
      <c r="B77" s="11" t="s">
        <v>29</v>
      </c>
      <c r="C77" s="11" t="s">
        <v>57</v>
      </c>
      <c r="D77">
        <v>35</v>
      </c>
      <c r="E77" s="11" t="s">
        <v>16</v>
      </c>
      <c r="F77" s="11" t="s">
        <v>35</v>
      </c>
      <c r="G77">
        <v>32</v>
      </c>
      <c r="H77" s="11" t="s">
        <v>135</v>
      </c>
      <c r="I77" s="11" t="s">
        <v>140</v>
      </c>
      <c r="J77" s="11" t="s">
        <v>21</v>
      </c>
      <c r="K77">
        <v>0</v>
      </c>
      <c r="L77">
        <v>0</v>
      </c>
    </row>
    <row r="78" spans="1:12" x14ac:dyDescent="0.3">
      <c r="A78" s="11" t="s">
        <v>22</v>
      </c>
      <c r="B78" s="11" t="s">
        <v>29</v>
      </c>
      <c r="C78" s="11" t="s">
        <v>57</v>
      </c>
      <c r="D78">
        <v>35</v>
      </c>
      <c r="E78" s="11" t="s">
        <v>16</v>
      </c>
      <c r="F78" s="11" t="s">
        <v>35</v>
      </c>
      <c r="G78">
        <v>6</v>
      </c>
      <c r="H78" s="11" t="s">
        <v>135</v>
      </c>
      <c r="I78" s="11" t="s">
        <v>140</v>
      </c>
      <c r="J78" s="11" t="s">
        <v>76</v>
      </c>
      <c r="K78">
        <v>0</v>
      </c>
      <c r="L78">
        <v>0</v>
      </c>
    </row>
    <row r="79" spans="1:12" x14ac:dyDescent="0.3">
      <c r="A79" s="11" t="s">
        <v>166</v>
      </c>
      <c r="B79" s="11" t="s">
        <v>14</v>
      </c>
      <c r="C79" s="11" t="s">
        <v>18</v>
      </c>
      <c r="D79">
        <v>34</v>
      </c>
      <c r="E79" s="11" t="s">
        <v>158</v>
      </c>
      <c r="F79" s="11" t="s">
        <v>12</v>
      </c>
      <c r="G79">
        <v>41</v>
      </c>
      <c r="H79" s="11" t="s">
        <v>134</v>
      </c>
      <c r="I79" s="11" t="s">
        <v>140</v>
      </c>
      <c r="J79" s="11" t="s">
        <v>28</v>
      </c>
      <c r="K79">
        <v>0</v>
      </c>
      <c r="L79">
        <v>0</v>
      </c>
    </row>
    <row r="80" spans="1:12" x14ac:dyDescent="0.3">
      <c r="A80" s="11" t="s">
        <v>22</v>
      </c>
      <c r="B80" s="11" t="s">
        <v>9</v>
      </c>
      <c r="C80" s="11" t="s">
        <v>77</v>
      </c>
      <c r="D80" t="s">
        <v>24</v>
      </c>
      <c r="E80" s="11" t="s">
        <v>25</v>
      </c>
      <c r="F80" s="11" t="s">
        <v>12</v>
      </c>
      <c r="G80">
        <v>57</v>
      </c>
      <c r="H80" s="11" t="s">
        <v>134</v>
      </c>
      <c r="I80" s="11" t="s">
        <v>141</v>
      </c>
      <c r="J80" s="11" t="s">
        <v>36</v>
      </c>
      <c r="K80">
        <v>0</v>
      </c>
      <c r="L80">
        <v>0</v>
      </c>
    </row>
    <row r="81" spans="1:12" x14ac:dyDescent="0.3">
      <c r="A81" s="11" t="s">
        <v>22</v>
      </c>
      <c r="B81" s="11" t="s">
        <v>34</v>
      </c>
      <c r="C81" s="11" t="s">
        <v>78</v>
      </c>
      <c r="D81">
        <v>147</v>
      </c>
      <c r="E81" s="11" t="s">
        <v>11</v>
      </c>
      <c r="F81" s="11" t="s">
        <v>12</v>
      </c>
      <c r="G81">
        <v>44</v>
      </c>
      <c r="H81" s="11" t="s">
        <v>133</v>
      </c>
      <c r="I81" s="11" t="s">
        <v>141</v>
      </c>
      <c r="J81" s="11" t="s">
        <v>28</v>
      </c>
      <c r="K81">
        <v>0</v>
      </c>
      <c r="L81">
        <v>0</v>
      </c>
    </row>
    <row r="82" spans="1:12" x14ac:dyDescent="0.3">
      <c r="A82" s="11" t="s">
        <v>46</v>
      </c>
      <c r="B82" s="11" t="s">
        <v>64</v>
      </c>
      <c r="C82" s="11" t="s">
        <v>70</v>
      </c>
      <c r="D82">
        <v>32</v>
      </c>
      <c r="E82" s="11" t="s">
        <v>11</v>
      </c>
      <c r="F82" s="11" t="s">
        <v>12</v>
      </c>
      <c r="G82">
        <v>40</v>
      </c>
      <c r="H82" s="11" t="s">
        <v>132</v>
      </c>
      <c r="I82" s="11" t="s">
        <v>141</v>
      </c>
      <c r="J82" s="11" t="s">
        <v>28</v>
      </c>
      <c r="K82">
        <v>1</v>
      </c>
      <c r="L82">
        <v>0</v>
      </c>
    </row>
    <row r="83" spans="1:12" x14ac:dyDescent="0.3">
      <c r="A83" s="11" t="s">
        <v>8</v>
      </c>
      <c r="B83" s="11" t="s">
        <v>14</v>
      </c>
      <c r="C83" s="11" t="s">
        <v>14</v>
      </c>
      <c r="D83">
        <v>132</v>
      </c>
      <c r="E83" s="11" t="s">
        <v>11</v>
      </c>
      <c r="F83" s="11" t="s">
        <v>12</v>
      </c>
      <c r="G83">
        <v>45</v>
      </c>
      <c r="H83" s="11" t="s">
        <v>132</v>
      </c>
      <c r="I83" s="11" t="s">
        <v>141</v>
      </c>
      <c r="J83" s="11" t="s">
        <v>19</v>
      </c>
      <c r="K83">
        <v>1</v>
      </c>
      <c r="L83">
        <v>0</v>
      </c>
    </row>
    <row r="84" spans="1:12" x14ac:dyDescent="0.3">
      <c r="A84" s="11" t="s">
        <v>8</v>
      </c>
      <c r="B84" s="11" t="s">
        <v>9</v>
      </c>
      <c r="C84" s="11" t="s">
        <v>23</v>
      </c>
      <c r="D84">
        <v>150</v>
      </c>
      <c r="E84" s="11" t="s">
        <v>11</v>
      </c>
      <c r="F84" s="11" t="s">
        <v>12</v>
      </c>
      <c r="G84">
        <v>43</v>
      </c>
      <c r="H84" s="11" t="s">
        <v>138</v>
      </c>
      <c r="I84" s="11" t="s">
        <v>141</v>
      </c>
      <c r="J84" s="11" t="s">
        <v>28</v>
      </c>
      <c r="K84">
        <v>1</v>
      </c>
      <c r="L84">
        <v>0</v>
      </c>
    </row>
    <row r="85" spans="1:12" x14ac:dyDescent="0.3">
      <c r="A85" s="11" t="s">
        <v>22</v>
      </c>
      <c r="B85" s="11" t="s">
        <v>14</v>
      </c>
      <c r="C85" s="11" t="s">
        <v>66</v>
      </c>
      <c r="D85">
        <v>245</v>
      </c>
      <c r="E85" s="11" t="s">
        <v>11</v>
      </c>
      <c r="F85" s="11" t="s">
        <v>12</v>
      </c>
      <c r="G85">
        <v>49</v>
      </c>
      <c r="H85" s="11" t="s">
        <v>138</v>
      </c>
      <c r="I85" s="11" t="s">
        <v>141</v>
      </c>
      <c r="J85" s="11" t="s">
        <v>19</v>
      </c>
      <c r="K85">
        <v>1</v>
      </c>
      <c r="L85">
        <v>0</v>
      </c>
    </row>
    <row r="86" spans="1:12" x14ac:dyDescent="0.3">
      <c r="A86" s="11" t="s">
        <v>166</v>
      </c>
      <c r="B86" s="11" t="s">
        <v>14</v>
      </c>
      <c r="C86" s="11" t="s">
        <v>41</v>
      </c>
      <c r="D86">
        <v>34</v>
      </c>
      <c r="E86" s="11" t="s">
        <v>62</v>
      </c>
      <c r="F86" s="11" t="s">
        <v>35</v>
      </c>
      <c r="G86">
        <v>43</v>
      </c>
      <c r="H86" s="11" t="s">
        <v>133</v>
      </c>
      <c r="I86" s="11" t="s">
        <v>141</v>
      </c>
      <c r="J86" s="11" t="s">
        <v>28</v>
      </c>
      <c r="K86">
        <v>0</v>
      </c>
      <c r="L86">
        <v>0</v>
      </c>
    </row>
    <row r="87" spans="1:12" x14ac:dyDescent="0.3">
      <c r="A87" s="11" t="s">
        <v>166</v>
      </c>
      <c r="B87" s="11" t="s">
        <v>34</v>
      </c>
      <c r="C87" s="11" t="s">
        <v>79</v>
      </c>
      <c r="D87">
        <v>215</v>
      </c>
      <c r="E87" s="11" t="s">
        <v>158</v>
      </c>
      <c r="F87" s="11" t="s">
        <v>35</v>
      </c>
      <c r="G87" t="s">
        <v>68</v>
      </c>
      <c r="H87" s="11" t="s">
        <v>133</v>
      </c>
      <c r="I87" s="11" t="s">
        <v>141</v>
      </c>
      <c r="J87" s="11" t="s">
        <v>68</v>
      </c>
      <c r="K87">
        <v>0</v>
      </c>
      <c r="L87">
        <v>0</v>
      </c>
    </row>
    <row r="88" spans="1:12" x14ac:dyDescent="0.3">
      <c r="A88" s="11" t="s">
        <v>46</v>
      </c>
      <c r="B88" s="11" t="s">
        <v>34</v>
      </c>
      <c r="C88" s="11" t="s">
        <v>80</v>
      </c>
      <c r="D88" t="s">
        <v>24</v>
      </c>
      <c r="E88" s="11" t="s">
        <v>11</v>
      </c>
      <c r="F88" s="11" t="s">
        <v>12</v>
      </c>
      <c r="G88">
        <v>24</v>
      </c>
      <c r="H88" s="11" t="s">
        <v>132</v>
      </c>
      <c r="I88" s="11" t="s">
        <v>141</v>
      </c>
      <c r="J88" s="11" t="s">
        <v>17</v>
      </c>
      <c r="K88">
        <v>1</v>
      </c>
      <c r="L88">
        <v>0</v>
      </c>
    </row>
    <row r="89" spans="1:12" x14ac:dyDescent="0.3">
      <c r="A89" s="11" t="s">
        <v>22</v>
      </c>
      <c r="B89" s="11" t="s">
        <v>14</v>
      </c>
      <c r="C89" s="11" t="s">
        <v>14</v>
      </c>
      <c r="D89">
        <v>160</v>
      </c>
      <c r="E89" s="11" t="s">
        <v>11</v>
      </c>
      <c r="F89" s="11" t="s">
        <v>12</v>
      </c>
      <c r="G89">
        <v>31</v>
      </c>
      <c r="H89" s="11" t="s">
        <v>138</v>
      </c>
      <c r="I89" s="11" t="s">
        <v>141</v>
      </c>
      <c r="J89" s="11" t="s">
        <v>21</v>
      </c>
      <c r="K89">
        <v>1</v>
      </c>
      <c r="L89">
        <v>0</v>
      </c>
    </row>
    <row r="90" spans="1:12" x14ac:dyDescent="0.3">
      <c r="A90" s="11" t="s">
        <v>46</v>
      </c>
      <c r="B90" s="11" t="s">
        <v>29</v>
      </c>
      <c r="C90" s="11" t="s">
        <v>81</v>
      </c>
      <c r="D90" t="s">
        <v>24</v>
      </c>
      <c r="E90" s="11" t="s">
        <v>11</v>
      </c>
      <c r="F90" s="11" t="s">
        <v>55</v>
      </c>
      <c r="G90">
        <v>31</v>
      </c>
      <c r="H90" s="11" t="s">
        <v>136</v>
      </c>
      <c r="I90" s="11" t="s">
        <v>141</v>
      </c>
      <c r="J90" s="11" t="s">
        <v>21</v>
      </c>
      <c r="K90">
        <v>0</v>
      </c>
      <c r="L90">
        <v>0</v>
      </c>
    </row>
    <row r="91" spans="1:12" x14ac:dyDescent="0.3">
      <c r="A91" s="11" t="s">
        <v>8</v>
      </c>
      <c r="B91" s="11" t="s">
        <v>9</v>
      </c>
      <c r="C91" s="11" t="s">
        <v>52</v>
      </c>
      <c r="D91">
        <v>155</v>
      </c>
      <c r="E91" s="11" t="s">
        <v>16</v>
      </c>
      <c r="F91" s="11" t="s">
        <v>12</v>
      </c>
      <c r="G91">
        <v>44</v>
      </c>
      <c r="H91" s="11" t="s">
        <v>134</v>
      </c>
      <c r="I91" s="11" t="s">
        <v>141</v>
      </c>
      <c r="J91" s="11" t="s">
        <v>28</v>
      </c>
      <c r="K91">
        <v>0</v>
      </c>
      <c r="L91">
        <v>0</v>
      </c>
    </row>
    <row r="92" spans="1:12" x14ac:dyDescent="0.3">
      <c r="A92" s="11" t="s">
        <v>166</v>
      </c>
      <c r="B92" s="11" t="s">
        <v>64</v>
      </c>
      <c r="C92" s="11" t="s">
        <v>70</v>
      </c>
      <c r="D92">
        <v>32</v>
      </c>
      <c r="E92" s="11" t="s">
        <v>158</v>
      </c>
      <c r="F92" s="11" t="s">
        <v>12</v>
      </c>
      <c r="G92">
        <v>36</v>
      </c>
      <c r="H92" s="11" t="s">
        <v>133</v>
      </c>
      <c r="I92" s="11" t="s">
        <v>141</v>
      </c>
      <c r="J92" s="11" t="s">
        <v>32</v>
      </c>
      <c r="K92">
        <v>0</v>
      </c>
      <c r="L92">
        <v>0</v>
      </c>
    </row>
    <row r="93" spans="1:12" x14ac:dyDescent="0.3">
      <c r="A93" s="11" t="s">
        <v>22</v>
      </c>
      <c r="B93" s="11" t="s">
        <v>14</v>
      </c>
      <c r="C93" s="11" t="s">
        <v>67</v>
      </c>
      <c r="D93" t="s">
        <v>24</v>
      </c>
      <c r="E93" s="11" t="s">
        <v>11</v>
      </c>
      <c r="F93" s="11" t="s">
        <v>12</v>
      </c>
      <c r="G93">
        <v>63</v>
      </c>
      <c r="H93" s="11" t="s">
        <v>133</v>
      </c>
      <c r="I93" s="11" t="s">
        <v>141</v>
      </c>
      <c r="J93" s="11" t="s">
        <v>49</v>
      </c>
      <c r="K93">
        <v>0</v>
      </c>
      <c r="L93">
        <v>0</v>
      </c>
    </row>
    <row r="94" spans="1:12" x14ac:dyDescent="0.3">
      <c r="A94" s="11" t="s">
        <v>8</v>
      </c>
      <c r="B94" s="11" t="s">
        <v>9</v>
      </c>
      <c r="C94" s="11" t="s">
        <v>52</v>
      </c>
      <c r="D94">
        <v>21</v>
      </c>
      <c r="E94" s="11" t="s">
        <v>11</v>
      </c>
      <c r="F94" s="11" t="s">
        <v>12</v>
      </c>
      <c r="G94">
        <v>46</v>
      </c>
      <c r="H94" s="11" t="s">
        <v>133</v>
      </c>
      <c r="I94" s="11" t="s">
        <v>141</v>
      </c>
      <c r="J94" s="11" t="s">
        <v>19</v>
      </c>
      <c r="K94">
        <v>0</v>
      </c>
      <c r="L94">
        <v>0</v>
      </c>
    </row>
    <row r="95" spans="1:12" x14ac:dyDescent="0.3">
      <c r="A95" s="11" t="s">
        <v>22</v>
      </c>
      <c r="B95" s="11" t="s">
        <v>34</v>
      </c>
      <c r="C95" s="11" t="s">
        <v>78</v>
      </c>
      <c r="D95">
        <v>27</v>
      </c>
      <c r="E95" s="11" t="s">
        <v>25</v>
      </c>
      <c r="F95" s="11" t="s">
        <v>12</v>
      </c>
      <c r="G95">
        <v>26</v>
      </c>
      <c r="H95" s="11" t="s">
        <v>132</v>
      </c>
      <c r="I95" s="11" t="s">
        <v>141</v>
      </c>
      <c r="J95" s="11" t="s">
        <v>13</v>
      </c>
      <c r="K95">
        <v>0</v>
      </c>
      <c r="L95">
        <v>0</v>
      </c>
    </row>
    <row r="96" spans="1:12" x14ac:dyDescent="0.3">
      <c r="A96" s="11" t="s">
        <v>46</v>
      </c>
      <c r="B96" s="11" t="s">
        <v>34</v>
      </c>
      <c r="C96" s="11" t="s">
        <v>78</v>
      </c>
      <c r="D96">
        <v>121</v>
      </c>
      <c r="E96" s="11" t="s">
        <v>11</v>
      </c>
      <c r="F96" s="11" t="s">
        <v>12</v>
      </c>
      <c r="G96">
        <v>24</v>
      </c>
      <c r="H96" s="11" t="s">
        <v>132</v>
      </c>
      <c r="I96" s="11" t="s">
        <v>141</v>
      </c>
      <c r="J96" s="11" t="s">
        <v>17</v>
      </c>
      <c r="K96">
        <v>1</v>
      </c>
      <c r="L96">
        <v>0</v>
      </c>
    </row>
    <row r="97" spans="1:12" x14ac:dyDescent="0.3">
      <c r="A97" s="11" t="s">
        <v>8</v>
      </c>
      <c r="B97" s="11" t="s">
        <v>40</v>
      </c>
      <c r="C97" s="11" t="s">
        <v>40</v>
      </c>
      <c r="D97" t="s">
        <v>24</v>
      </c>
      <c r="E97" s="11" t="s">
        <v>82</v>
      </c>
      <c r="F97" s="11" t="s">
        <v>35</v>
      </c>
      <c r="G97">
        <v>31</v>
      </c>
      <c r="H97" s="11" t="s">
        <v>132</v>
      </c>
      <c r="I97" s="11" t="s">
        <v>141</v>
      </c>
      <c r="J97" s="11" t="s">
        <v>21</v>
      </c>
      <c r="K97">
        <v>0</v>
      </c>
      <c r="L97">
        <v>0</v>
      </c>
    </row>
    <row r="98" spans="1:12" x14ac:dyDescent="0.3">
      <c r="A98" s="11" t="s">
        <v>46</v>
      </c>
      <c r="B98" s="11" t="s">
        <v>29</v>
      </c>
      <c r="C98" s="11" t="s">
        <v>83</v>
      </c>
      <c r="D98" t="s">
        <v>24</v>
      </c>
      <c r="E98" s="11" t="s">
        <v>11</v>
      </c>
      <c r="F98" s="11" t="s">
        <v>12</v>
      </c>
      <c r="G98">
        <v>24</v>
      </c>
      <c r="H98" s="11" t="s">
        <v>132</v>
      </c>
      <c r="I98" s="11" t="s">
        <v>141</v>
      </c>
      <c r="J98" s="11" t="s">
        <v>17</v>
      </c>
      <c r="K98">
        <v>1</v>
      </c>
      <c r="L98">
        <v>0</v>
      </c>
    </row>
    <row r="99" spans="1:12" x14ac:dyDescent="0.3">
      <c r="A99" s="11" t="s">
        <v>46</v>
      </c>
      <c r="B99" s="11" t="s">
        <v>29</v>
      </c>
      <c r="C99" s="11" t="s">
        <v>83</v>
      </c>
      <c r="D99" t="s">
        <v>24</v>
      </c>
      <c r="E99" s="11" t="s">
        <v>62</v>
      </c>
      <c r="F99" s="11" t="s">
        <v>12</v>
      </c>
      <c r="G99">
        <v>21</v>
      </c>
      <c r="H99" s="11" t="s">
        <v>132</v>
      </c>
      <c r="I99" s="11" t="s">
        <v>141</v>
      </c>
      <c r="J99" s="11" t="s">
        <v>17</v>
      </c>
      <c r="K99">
        <v>0</v>
      </c>
      <c r="L99">
        <v>0</v>
      </c>
    </row>
    <row r="100" spans="1:12" x14ac:dyDescent="0.3">
      <c r="A100" s="11" t="s">
        <v>22</v>
      </c>
      <c r="B100" s="11" t="s">
        <v>34</v>
      </c>
      <c r="C100" s="11" t="s">
        <v>84</v>
      </c>
      <c r="D100">
        <v>2</v>
      </c>
      <c r="E100" s="11" t="s">
        <v>11</v>
      </c>
      <c r="F100" s="11" t="s">
        <v>12</v>
      </c>
      <c r="G100">
        <v>40</v>
      </c>
      <c r="H100" s="11" t="s">
        <v>132</v>
      </c>
      <c r="I100" s="11" t="s">
        <v>141</v>
      </c>
      <c r="J100" s="11" t="s">
        <v>28</v>
      </c>
      <c r="K100">
        <v>1</v>
      </c>
      <c r="L100">
        <v>0</v>
      </c>
    </row>
    <row r="101" spans="1:12" x14ac:dyDescent="0.3">
      <c r="A101" s="11" t="s">
        <v>8</v>
      </c>
      <c r="B101" s="11" t="s">
        <v>14</v>
      </c>
      <c r="C101" s="11" t="s">
        <v>18</v>
      </c>
      <c r="D101">
        <v>34</v>
      </c>
      <c r="E101" s="11" t="s">
        <v>11</v>
      </c>
      <c r="F101" s="11" t="s">
        <v>12</v>
      </c>
      <c r="G101">
        <v>32</v>
      </c>
      <c r="H101" s="11" t="s">
        <v>138</v>
      </c>
      <c r="I101" s="11" t="s">
        <v>141</v>
      </c>
      <c r="J101" s="11" t="s">
        <v>21</v>
      </c>
      <c r="K101">
        <v>1</v>
      </c>
      <c r="L101">
        <v>0</v>
      </c>
    </row>
    <row r="102" spans="1:12" x14ac:dyDescent="0.3">
      <c r="A102" s="11" t="s">
        <v>166</v>
      </c>
      <c r="B102" s="11" t="s">
        <v>34</v>
      </c>
      <c r="C102" s="11" t="s">
        <v>85</v>
      </c>
      <c r="D102">
        <v>209</v>
      </c>
      <c r="E102" s="11" t="s">
        <v>158</v>
      </c>
      <c r="F102" s="11" t="s">
        <v>12</v>
      </c>
      <c r="G102">
        <v>42</v>
      </c>
      <c r="H102" s="11" t="s">
        <v>136</v>
      </c>
      <c r="I102" s="11" t="s">
        <v>141</v>
      </c>
      <c r="J102" s="11" t="s">
        <v>28</v>
      </c>
      <c r="K102">
        <v>0</v>
      </c>
      <c r="L102">
        <v>0</v>
      </c>
    </row>
    <row r="103" spans="1:12" x14ac:dyDescent="0.3">
      <c r="A103" s="11" t="s">
        <v>8</v>
      </c>
      <c r="B103" s="11" t="s">
        <v>14</v>
      </c>
      <c r="C103" s="11" t="s">
        <v>66</v>
      </c>
      <c r="D103">
        <v>14</v>
      </c>
      <c r="E103" s="11" t="s">
        <v>11</v>
      </c>
      <c r="F103" s="11" t="s">
        <v>12</v>
      </c>
      <c r="G103">
        <v>36</v>
      </c>
      <c r="H103" s="11" t="s">
        <v>136</v>
      </c>
      <c r="I103" s="11" t="s">
        <v>141</v>
      </c>
      <c r="J103" s="11" t="s">
        <v>32</v>
      </c>
      <c r="K103">
        <v>0</v>
      </c>
      <c r="L103">
        <v>0</v>
      </c>
    </row>
    <row r="104" spans="1:12" x14ac:dyDescent="0.3">
      <c r="A104" s="11" t="s">
        <v>166</v>
      </c>
      <c r="B104" s="11" t="s">
        <v>34</v>
      </c>
      <c r="C104" s="11" t="s">
        <v>34</v>
      </c>
      <c r="D104" t="s">
        <v>24</v>
      </c>
      <c r="E104" s="11" t="s">
        <v>158</v>
      </c>
      <c r="F104" s="11" t="s">
        <v>12</v>
      </c>
      <c r="G104">
        <v>21</v>
      </c>
      <c r="H104" s="11" t="s">
        <v>135</v>
      </c>
      <c r="I104" s="11" t="s">
        <v>141</v>
      </c>
      <c r="J104" s="11" t="s">
        <v>17</v>
      </c>
      <c r="K104">
        <v>0</v>
      </c>
      <c r="L104">
        <v>0</v>
      </c>
    </row>
    <row r="105" spans="1:12" x14ac:dyDescent="0.3">
      <c r="A105" s="11" t="s">
        <v>38</v>
      </c>
      <c r="B105" s="11" t="s">
        <v>53</v>
      </c>
      <c r="C105" s="11" t="s">
        <v>86</v>
      </c>
      <c r="D105" t="s">
        <v>24</v>
      </c>
      <c r="E105" s="11" t="s">
        <v>39</v>
      </c>
      <c r="F105" s="11" t="s">
        <v>12</v>
      </c>
      <c r="G105">
        <v>29</v>
      </c>
      <c r="H105" s="11" t="s">
        <v>132</v>
      </c>
      <c r="I105" s="11" t="s">
        <v>141</v>
      </c>
      <c r="J105" s="11" t="s">
        <v>13</v>
      </c>
      <c r="K105">
        <v>0</v>
      </c>
      <c r="L105">
        <v>0</v>
      </c>
    </row>
    <row r="106" spans="1:12" x14ac:dyDescent="0.3">
      <c r="A106" s="11" t="s">
        <v>22</v>
      </c>
      <c r="B106" s="11" t="s">
        <v>9</v>
      </c>
      <c r="C106" s="11" t="s">
        <v>23</v>
      </c>
      <c r="D106">
        <v>150</v>
      </c>
      <c r="E106" s="11" t="s">
        <v>25</v>
      </c>
      <c r="F106" s="11" t="s">
        <v>12</v>
      </c>
      <c r="G106">
        <v>24</v>
      </c>
      <c r="H106" s="11" t="s">
        <v>133</v>
      </c>
      <c r="I106" s="11" t="s">
        <v>141</v>
      </c>
      <c r="J106" s="11" t="s">
        <v>17</v>
      </c>
      <c r="K106">
        <v>0</v>
      </c>
      <c r="L106">
        <v>0</v>
      </c>
    </row>
    <row r="107" spans="1:12" x14ac:dyDescent="0.3">
      <c r="A107" s="11" t="s">
        <v>38</v>
      </c>
      <c r="B107" s="11" t="s">
        <v>53</v>
      </c>
      <c r="C107" s="11" t="s">
        <v>86</v>
      </c>
      <c r="D107">
        <v>4</v>
      </c>
      <c r="E107" s="11" t="s">
        <v>39</v>
      </c>
      <c r="F107" s="11" t="s">
        <v>12</v>
      </c>
      <c r="G107">
        <v>30</v>
      </c>
      <c r="H107" s="11" t="s">
        <v>133</v>
      </c>
      <c r="I107" s="11" t="s">
        <v>141</v>
      </c>
      <c r="J107" s="11" t="s">
        <v>21</v>
      </c>
      <c r="K107">
        <v>0</v>
      </c>
      <c r="L107">
        <v>0</v>
      </c>
    </row>
    <row r="108" spans="1:12" x14ac:dyDescent="0.3">
      <c r="A108" s="11" t="s">
        <v>46</v>
      </c>
      <c r="B108" s="11" t="s">
        <v>64</v>
      </c>
      <c r="C108" s="11" t="s">
        <v>70</v>
      </c>
      <c r="D108">
        <v>32</v>
      </c>
      <c r="E108" s="11" t="s">
        <v>25</v>
      </c>
      <c r="F108" s="11" t="s">
        <v>12</v>
      </c>
      <c r="G108">
        <v>46</v>
      </c>
      <c r="H108" s="11" t="s">
        <v>132</v>
      </c>
      <c r="I108" s="11" t="s">
        <v>141</v>
      </c>
      <c r="J108" s="11" t="s">
        <v>19</v>
      </c>
      <c r="K108">
        <v>0</v>
      </c>
      <c r="L108">
        <v>0</v>
      </c>
    </row>
    <row r="109" spans="1:12" x14ac:dyDescent="0.3">
      <c r="A109" s="11" t="s">
        <v>22</v>
      </c>
      <c r="B109" s="11" t="s">
        <v>34</v>
      </c>
      <c r="C109" s="11" t="s">
        <v>84</v>
      </c>
      <c r="D109">
        <v>2</v>
      </c>
      <c r="E109" s="11" t="s">
        <v>25</v>
      </c>
      <c r="F109" s="11" t="s">
        <v>12</v>
      </c>
      <c r="G109">
        <v>78</v>
      </c>
      <c r="H109" s="11" t="s">
        <v>138</v>
      </c>
      <c r="I109" s="11" t="s">
        <v>141</v>
      </c>
      <c r="J109" s="11" t="s">
        <v>42</v>
      </c>
      <c r="K109">
        <v>0</v>
      </c>
      <c r="L109">
        <v>0</v>
      </c>
    </row>
    <row r="110" spans="1:12" x14ac:dyDescent="0.3">
      <c r="A110" s="11" t="s">
        <v>87</v>
      </c>
      <c r="B110" s="11" t="s">
        <v>29</v>
      </c>
      <c r="C110" s="11" t="s">
        <v>48</v>
      </c>
      <c r="D110" t="s">
        <v>24</v>
      </c>
      <c r="E110" s="11" t="s">
        <v>25</v>
      </c>
      <c r="F110" s="11" t="s">
        <v>12</v>
      </c>
      <c r="G110">
        <v>28</v>
      </c>
      <c r="H110" s="11" t="s">
        <v>137</v>
      </c>
      <c r="I110" s="11" t="s">
        <v>141</v>
      </c>
      <c r="J110" s="11" t="s">
        <v>13</v>
      </c>
      <c r="K110">
        <v>0</v>
      </c>
      <c r="L110">
        <v>0</v>
      </c>
    </row>
    <row r="111" spans="1:12" x14ac:dyDescent="0.3">
      <c r="A111" s="11" t="s">
        <v>38</v>
      </c>
      <c r="B111" s="11" t="s">
        <v>34</v>
      </c>
      <c r="C111" s="11" t="s">
        <v>34</v>
      </c>
      <c r="D111" t="s">
        <v>24</v>
      </c>
      <c r="E111" s="11" t="s">
        <v>39</v>
      </c>
      <c r="F111" s="11" t="s">
        <v>12</v>
      </c>
      <c r="G111">
        <v>27</v>
      </c>
      <c r="H111" s="11" t="s">
        <v>135</v>
      </c>
      <c r="I111" s="11" t="s">
        <v>141</v>
      </c>
      <c r="J111" s="11" t="s">
        <v>13</v>
      </c>
      <c r="K111">
        <v>0</v>
      </c>
      <c r="L111">
        <v>0</v>
      </c>
    </row>
    <row r="112" spans="1:12" x14ac:dyDescent="0.3">
      <c r="A112" s="11" t="s">
        <v>8</v>
      </c>
      <c r="B112" s="11" t="s">
        <v>14</v>
      </c>
      <c r="C112" s="11" t="s">
        <v>88</v>
      </c>
      <c r="D112">
        <v>2</v>
      </c>
      <c r="E112" s="11" t="s">
        <v>11</v>
      </c>
      <c r="F112" s="11" t="s">
        <v>35</v>
      </c>
      <c r="G112">
        <v>32</v>
      </c>
      <c r="H112" s="11" t="s">
        <v>133</v>
      </c>
      <c r="I112" s="11" t="s">
        <v>141</v>
      </c>
      <c r="J112" s="11" t="s">
        <v>21</v>
      </c>
      <c r="K112">
        <v>0</v>
      </c>
      <c r="L112">
        <v>0</v>
      </c>
    </row>
    <row r="113" spans="1:12" x14ac:dyDescent="0.3">
      <c r="A113" s="11" t="s">
        <v>8</v>
      </c>
      <c r="B113" s="11" t="s">
        <v>14</v>
      </c>
      <c r="C113" s="11" t="s">
        <v>88</v>
      </c>
      <c r="D113">
        <v>2</v>
      </c>
      <c r="E113" s="11" t="s">
        <v>62</v>
      </c>
      <c r="F113" s="11" t="s">
        <v>12</v>
      </c>
      <c r="G113">
        <v>26</v>
      </c>
      <c r="H113" s="11" t="s">
        <v>133</v>
      </c>
      <c r="I113" s="11" t="s">
        <v>141</v>
      </c>
      <c r="J113" s="11" t="s">
        <v>13</v>
      </c>
      <c r="K113">
        <v>0</v>
      </c>
      <c r="L113">
        <v>0</v>
      </c>
    </row>
    <row r="114" spans="1:12" x14ac:dyDescent="0.3">
      <c r="A114" s="11" t="s">
        <v>22</v>
      </c>
      <c r="B114" s="11" t="s">
        <v>9</v>
      </c>
      <c r="C114" s="11" t="s">
        <v>89</v>
      </c>
      <c r="D114">
        <v>1</v>
      </c>
      <c r="E114" s="11" t="s">
        <v>16</v>
      </c>
      <c r="F114" s="11" t="s">
        <v>12</v>
      </c>
      <c r="G114">
        <v>34</v>
      </c>
      <c r="H114" s="11" t="s">
        <v>133</v>
      </c>
      <c r="I114" s="11" t="s">
        <v>141</v>
      </c>
      <c r="J114" s="11" t="s">
        <v>21</v>
      </c>
      <c r="K114">
        <v>0</v>
      </c>
      <c r="L114">
        <v>0</v>
      </c>
    </row>
    <row r="115" spans="1:12" x14ac:dyDescent="0.3">
      <c r="A115" s="11" t="s">
        <v>8</v>
      </c>
      <c r="B115" s="11" t="s">
        <v>14</v>
      </c>
      <c r="C115" s="11" t="s">
        <v>90</v>
      </c>
      <c r="D115">
        <v>1</v>
      </c>
      <c r="E115" s="11" t="s">
        <v>16</v>
      </c>
      <c r="F115" s="11" t="s">
        <v>12</v>
      </c>
      <c r="G115">
        <v>40</v>
      </c>
      <c r="H115" s="11" t="s">
        <v>132</v>
      </c>
      <c r="I115" s="11" t="s">
        <v>141</v>
      </c>
      <c r="J115" s="11" t="s">
        <v>28</v>
      </c>
      <c r="K115">
        <v>0</v>
      </c>
      <c r="L115">
        <v>0</v>
      </c>
    </row>
    <row r="116" spans="1:12" x14ac:dyDescent="0.3">
      <c r="A116" s="11" t="s">
        <v>91</v>
      </c>
      <c r="B116" s="11" t="s">
        <v>40</v>
      </c>
      <c r="C116" s="11" t="s">
        <v>86</v>
      </c>
      <c r="D116">
        <v>4</v>
      </c>
      <c r="E116" s="11" t="s">
        <v>11</v>
      </c>
      <c r="F116" s="11" t="s">
        <v>12</v>
      </c>
      <c r="G116">
        <v>39</v>
      </c>
      <c r="H116" s="11" t="s">
        <v>132</v>
      </c>
      <c r="I116" s="11" t="s">
        <v>141</v>
      </c>
      <c r="J116" s="11" t="s">
        <v>32</v>
      </c>
      <c r="K116">
        <v>1</v>
      </c>
      <c r="L116">
        <v>0</v>
      </c>
    </row>
    <row r="117" spans="1:12" x14ac:dyDescent="0.3">
      <c r="A117" s="11" t="s">
        <v>87</v>
      </c>
      <c r="B117" s="11" t="s">
        <v>9</v>
      </c>
      <c r="C117" s="11" t="s">
        <v>63</v>
      </c>
      <c r="D117">
        <v>21</v>
      </c>
      <c r="E117" s="11" t="s">
        <v>25</v>
      </c>
      <c r="F117" s="11" t="s">
        <v>35</v>
      </c>
      <c r="G117">
        <v>24</v>
      </c>
      <c r="H117" s="11" t="s">
        <v>132</v>
      </c>
      <c r="I117" s="11" t="s">
        <v>141</v>
      </c>
      <c r="J117" s="11" t="s">
        <v>17</v>
      </c>
      <c r="K117">
        <v>0</v>
      </c>
      <c r="L117">
        <v>0</v>
      </c>
    </row>
    <row r="118" spans="1:12" x14ac:dyDescent="0.3">
      <c r="A118" s="11" t="s">
        <v>8</v>
      </c>
      <c r="B118" s="11" t="s">
        <v>29</v>
      </c>
      <c r="C118" s="11" t="s">
        <v>92</v>
      </c>
      <c r="D118">
        <v>141</v>
      </c>
      <c r="E118" s="11" t="s">
        <v>11</v>
      </c>
      <c r="F118" s="11" t="s">
        <v>12</v>
      </c>
      <c r="G118">
        <v>32</v>
      </c>
      <c r="H118" s="11" t="s">
        <v>138</v>
      </c>
      <c r="I118" s="11" t="s">
        <v>141</v>
      </c>
      <c r="J118" s="11" t="s">
        <v>21</v>
      </c>
      <c r="K118">
        <v>1</v>
      </c>
      <c r="L118">
        <v>0</v>
      </c>
    </row>
    <row r="119" spans="1:12" x14ac:dyDescent="0.3">
      <c r="A119" s="11" t="s">
        <v>87</v>
      </c>
      <c r="B119" s="11" t="s">
        <v>34</v>
      </c>
      <c r="C119" s="11" t="s">
        <v>84</v>
      </c>
      <c r="D119" t="s">
        <v>24</v>
      </c>
      <c r="E119" s="11" t="s">
        <v>25</v>
      </c>
      <c r="F119" s="11" t="s">
        <v>12</v>
      </c>
      <c r="G119">
        <v>48</v>
      </c>
      <c r="H119" s="11" t="s">
        <v>135</v>
      </c>
      <c r="I119" s="11" t="s">
        <v>142</v>
      </c>
      <c r="J119" s="11" t="s">
        <v>19</v>
      </c>
      <c r="K119">
        <v>0</v>
      </c>
      <c r="L119">
        <v>0</v>
      </c>
    </row>
    <row r="120" spans="1:12" x14ac:dyDescent="0.3">
      <c r="A120" s="11" t="s">
        <v>166</v>
      </c>
      <c r="B120" s="11" t="s">
        <v>64</v>
      </c>
      <c r="C120" s="11" t="s">
        <v>70</v>
      </c>
      <c r="D120">
        <v>247</v>
      </c>
      <c r="E120" s="11" t="s">
        <v>158</v>
      </c>
      <c r="F120" s="11" t="s">
        <v>12</v>
      </c>
      <c r="G120">
        <v>43</v>
      </c>
      <c r="H120" s="11" t="s">
        <v>134</v>
      </c>
      <c r="I120" s="11" t="s">
        <v>142</v>
      </c>
      <c r="J120" s="11" t="s">
        <v>28</v>
      </c>
      <c r="K120">
        <v>0</v>
      </c>
      <c r="L120">
        <v>0</v>
      </c>
    </row>
    <row r="121" spans="1:12" x14ac:dyDescent="0.3">
      <c r="A121" s="11" t="s">
        <v>87</v>
      </c>
      <c r="B121" s="11" t="s">
        <v>29</v>
      </c>
      <c r="C121" s="11" t="s">
        <v>93</v>
      </c>
      <c r="D121">
        <v>702</v>
      </c>
      <c r="E121" s="11" t="s">
        <v>16</v>
      </c>
      <c r="F121" s="11" t="s">
        <v>12</v>
      </c>
      <c r="G121">
        <v>73</v>
      </c>
      <c r="H121" s="11" t="s">
        <v>133</v>
      </c>
      <c r="I121" s="11" t="s">
        <v>142</v>
      </c>
      <c r="J121" s="11" t="s">
        <v>94</v>
      </c>
      <c r="K121">
        <v>0</v>
      </c>
      <c r="L121">
        <v>0</v>
      </c>
    </row>
    <row r="122" spans="1:12" x14ac:dyDescent="0.3">
      <c r="A122" s="11" t="s">
        <v>8</v>
      </c>
      <c r="B122" s="11" t="s">
        <v>64</v>
      </c>
      <c r="C122" s="11" t="s">
        <v>70</v>
      </c>
      <c r="D122">
        <v>32</v>
      </c>
      <c r="E122" s="11" t="s">
        <v>25</v>
      </c>
      <c r="F122" s="11" t="s">
        <v>12</v>
      </c>
      <c r="G122">
        <v>64</v>
      </c>
      <c r="H122" s="11" t="s">
        <v>138</v>
      </c>
      <c r="I122" s="11" t="s">
        <v>142</v>
      </c>
      <c r="J122" s="11" t="s">
        <v>49</v>
      </c>
      <c r="K122">
        <v>0</v>
      </c>
      <c r="L122">
        <v>0</v>
      </c>
    </row>
    <row r="123" spans="1:12" x14ac:dyDescent="0.3">
      <c r="A123" s="11" t="s">
        <v>166</v>
      </c>
      <c r="B123" s="11" t="s">
        <v>9</v>
      </c>
      <c r="C123" s="11" t="s">
        <v>63</v>
      </c>
      <c r="D123" t="s">
        <v>24</v>
      </c>
      <c r="E123" s="11" t="s">
        <v>158</v>
      </c>
      <c r="F123" s="11" t="s">
        <v>35</v>
      </c>
      <c r="G123">
        <v>81</v>
      </c>
      <c r="H123" s="11" t="s">
        <v>138</v>
      </c>
      <c r="I123" s="11" t="s">
        <v>142</v>
      </c>
      <c r="J123" s="11" t="s">
        <v>42</v>
      </c>
      <c r="K123">
        <v>0</v>
      </c>
      <c r="L123">
        <v>0</v>
      </c>
    </row>
    <row r="124" spans="1:12" x14ac:dyDescent="0.3">
      <c r="A124" s="11" t="s">
        <v>38</v>
      </c>
      <c r="B124" s="11" t="s">
        <v>50</v>
      </c>
      <c r="C124" s="11" t="s">
        <v>95</v>
      </c>
      <c r="D124">
        <v>219</v>
      </c>
      <c r="E124" s="11" t="s">
        <v>39</v>
      </c>
      <c r="F124" s="11" t="s">
        <v>12</v>
      </c>
      <c r="G124">
        <v>33</v>
      </c>
      <c r="H124" s="11" t="s">
        <v>137</v>
      </c>
      <c r="I124" s="11" t="s">
        <v>142</v>
      </c>
      <c r="J124" s="11" t="s">
        <v>21</v>
      </c>
      <c r="K124">
        <v>0</v>
      </c>
      <c r="L124">
        <v>0</v>
      </c>
    </row>
    <row r="125" spans="1:12" x14ac:dyDescent="0.3">
      <c r="A125" s="11" t="s">
        <v>8</v>
      </c>
      <c r="B125" s="11" t="s">
        <v>14</v>
      </c>
      <c r="C125" s="11" t="s">
        <v>88</v>
      </c>
      <c r="D125">
        <v>2</v>
      </c>
      <c r="E125" s="11" t="s">
        <v>16</v>
      </c>
      <c r="F125" s="11" t="s">
        <v>35</v>
      </c>
      <c r="G125">
        <v>53</v>
      </c>
      <c r="H125" s="11" t="s">
        <v>136</v>
      </c>
      <c r="I125" s="11" t="s">
        <v>142</v>
      </c>
      <c r="J125" s="11" t="s">
        <v>60</v>
      </c>
      <c r="K125">
        <v>0</v>
      </c>
      <c r="L125">
        <v>0</v>
      </c>
    </row>
    <row r="126" spans="1:12" x14ac:dyDescent="0.3">
      <c r="A126" s="11" t="s">
        <v>22</v>
      </c>
      <c r="B126" s="11" t="s">
        <v>29</v>
      </c>
      <c r="C126" s="11" t="s">
        <v>57</v>
      </c>
      <c r="D126">
        <v>35</v>
      </c>
      <c r="E126" s="11" t="s">
        <v>25</v>
      </c>
      <c r="F126" s="11" t="s">
        <v>12</v>
      </c>
      <c r="G126">
        <v>22</v>
      </c>
      <c r="H126" s="11" t="s">
        <v>136</v>
      </c>
      <c r="I126" s="11" t="s">
        <v>142</v>
      </c>
      <c r="J126" s="11" t="s">
        <v>17</v>
      </c>
      <c r="K126">
        <v>0</v>
      </c>
      <c r="L126">
        <v>0</v>
      </c>
    </row>
    <row r="127" spans="1:12" x14ac:dyDescent="0.3">
      <c r="A127" s="11" t="s">
        <v>22</v>
      </c>
      <c r="B127" s="11" t="s">
        <v>29</v>
      </c>
      <c r="C127" s="11" t="s">
        <v>57</v>
      </c>
      <c r="D127">
        <v>35</v>
      </c>
      <c r="E127" s="11" t="s">
        <v>16</v>
      </c>
      <c r="F127" s="11" t="s">
        <v>12</v>
      </c>
      <c r="G127">
        <v>20</v>
      </c>
      <c r="H127" s="11" t="s">
        <v>136</v>
      </c>
      <c r="I127" s="11" t="s">
        <v>142</v>
      </c>
      <c r="J127" s="11" t="s">
        <v>17</v>
      </c>
      <c r="K127">
        <v>0</v>
      </c>
      <c r="L127">
        <v>0</v>
      </c>
    </row>
    <row r="128" spans="1:12" x14ac:dyDescent="0.3">
      <c r="A128" s="11" t="s">
        <v>8</v>
      </c>
      <c r="B128" s="11" t="s">
        <v>29</v>
      </c>
      <c r="C128" s="11" t="s">
        <v>93</v>
      </c>
      <c r="D128" t="s">
        <v>24</v>
      </c>
      <c r="E128" s="11" t="s">
        <v>11</v>
      </c>
      <c r="F128" s="11" t="s">
        <v>12</v>
      </c>
      <c r="G128" t="s">
        <v>68</v>
      </c>
      <c r="H128" s="11" t="s">
        <v>134</v>
      </c>
      <c r="I128" s="11" t="s">
        <v>142</v>
      </c>
      <c r="J128" s="11" t="s">
        <v>68</v>
      </c>
      <c r="K128">
        <v>0</v>
      </c>
      <c r="L128">
        <v>0</v>
      </c>
    </row>
    <row r="129" spans="1:12" x14ac:dyDescent="0.3">
      <c r="A129" s="11" t="s">
        <v>8</v>
      </c>
      <c r="B129" s="11" t="s">
        <v>14</v>
      </c>
      <c r="C129" s="11" t="s">
        <v>61</v>
      </c>
      <c r="D129">
        <v>34</v>
      </c>
      <c r="E129" s="11" t="s">
        <v>11</v>
      </c>
      <c r="F129" s="11" t="s">
        <v>12</v>
      </c>
      <c r="G129">
        <v>21</v>
      </c>
      <c r="H129" s="11" t="s">
        <v>133</v>
      </c>
      <c r="I129" s="11" t="s">
        <v>142</v>
      </c>
      <c r="J129" s="11" t="s">
        <v>17</v>
      </c>
      <c r="K129">
        <v>0</v>
      </c>
      <c r="L129">
        <v>0</v>
      </c>
    </row>
    <row r="130" spans="1:12" x14ac:dyDescent="0.3">
      <c r="A130" s="11" t="s">
        <v>8</v>
      </c>
      <c r="B130" s="11" t="s">
        <v>64</v>
      </c>
      <c r="C130" s="11" t="s">
        <v>70</v>
      </c>
      <c r="D130">
        <v>247</v>
      </c>
      <c r="E130" s="11" t="s">
        <v>11</v>
      </c>
      <c r="F130" s="11" t="s">
        <v>12</v>
      </c>
      <c r="G130">
        <v>25</v>
      </c>
      <c r="H130" s="11" t="s">
        <v>132</v>
      </c>
      <c r="I130" s="11" t="s">
        <v>142</v>
      </c>
      <c r="J130" s="11" t="s">
        <v>13</v>
      </c>
      <c r="K130">
        <v>1</v>
      </c>
      <c r="L130">
        <v>0</v>
      </c>
    </row>
    <row r="131" spans="1:12" x14ac:dyDescent="0.3">
      <c r="A131" s="11" t="s">
        <v>8</v>
      </c>
      <c r="B131" s="11" t="s">
        <v>29</v>
      </c>
      <c r="C131" s="11" t="s">
        <v>48</v>
      </c>
      <c r="D131">
        <v>140</v>
      </c>
      <c r="E131" s="11" t="s">
        <v>11</v>
      </c>
      <c r="F131" s="11" t="s">
        <v>12</v>
      </c>
      <c r="G131">
        <v>48</v>
      </c>
      <c r="H131" s="11" t="s">
        <v>132</v>
      </c>
      <c r="I131" s="11" t="s">
        <v>142</v>
      </c>
      <c r="J131" s="11" t="s">
        <v>19</v>
      </c>
      <c r="K131">
        <v>1</v>
      </c>
      <c r="L131">
        <v>0</v>
      </c>
    </row>
    <row r="132" spans="1:12" x14ac:dyDescent="0.3">
      <c r="A132" s="11" t="s">
        <v>166</v>
      </c>
      <c r="B132" s="11" t="s">
        <v>14</v>
      </c>
      <c r="C132" s="11" t="s">
        <v>14</v>
      </c>
      <c r="D132" t="s">
        <v>24</v>
      </c>
      <c r="E132" s="11" t="s">
        <v>25</v>
      </c>
      <c r="F132" s="11" t="s">
        <v>12</v>
      </c>
      <c r="G132">
        <v>40</v>
      </c>
      <c r="H132" s="11" t="s">
        <v>132</v>
      </c>
      <c r="I132" s="11" t="s">
        <v>142</v>
      </c>
      <c r="J132" s="11" t="s">
        <v>28</v>
      </c>
      <c r="K132">
        <v>0</v>
      </c>
      <c r="L132">
        <v>0</v>
      </c>
    </row>
    <row r="133" spans="1:12" x14ac:dyDescent="0.3">
      <c r="A133" s="11" t="s">
        <v>166</v>
      </c>
      <c r="B133" s="11" t="s">
        <v>9</v>
      </c>
      <c r="C133" s="11" t="s">
        <v>96</v>
      </c>
      <c r="D133">
        <v>910</v>
      </c>
      <c r="E133" s="11" t="s">
        <v>158</v>
      </c>
      <c r="F133" s="11" t="s">
        <v>12</v>
      </c>
      <c r="G133">
        <v>85</v>
      </c>
      <c r="H133" s="11" t="s">
        <v>138</v>
      </c>
      <c r="I133" s="11" t="s">
        <v>142</v>
      </c>
      <c r="J133" s="11" t="s">
        <v>42</v>
      </c>
      <c r="K133">
        <v>0</v>
      </c>
      <c r="L133">
        <v>0</v>
      </c>
    </row>
    <row r="134" spans="1:12" x14ac:dyDescent="0.3">
      <c r="A134" s="11" t="s">
        <v>8</v>
      </c>
      <c r="B134" s="11" t="s">
        <v>64</v>
      </c>
      <c r="C134" s="11" t="s">
        <v>64</v>
      </c>
      <c r="D134">
        <v>234</v>
      </c>
      <c r="E134" s="11" t="s">
        <v>11</v>
      </c>
      <c r="F134" s="11" t="s">
        <v>12</v>
      </c>
      <c r="G134">
        <v>29</v>
      </c>
      <c r="H134" s="11" t="s">
        <v>138</v>
      </c>
      <c r="I134" s="11" t="s">
        <v>142</v>
      </c>
      <c r="J134" s="11" t="s">
        <v>13</v>
      </c>
      <c r="K134">
        <v>1</v>
      </c>
      <c r="L134">
        <v>0</v>
      </c>
    </row>
    <row r="135" spans="1:12" x14ac:dyDescent="0.3">
      <c r="A135" s="11" t="s">
        <v>166</v>
      </c>
      <c r="B135" s="11" t="s">
        <v>14</v>
      </c>
      <c r="C135" s="11" t="s">
        <v>15</v>
      </c>
      <c r="D135">
        <v>34</v>
      </c>
      <c r="E135" s="11" t="s">
        <v>158</v>
      </c>
      <c r="F135" s="11" t="s">
        <v>12</v>
      </c>
      <c r="G135">
        <v>60</v>
      </c>
      <c r="H135" s="11" t="s">
        <v>138</v>
      </c>
      <c r="I135" s="11" t="s">
        <v>142</v>
      </c>
      <c r="J135" s="11" t="s">
        <v>49</v>
      </c>
      <c r="K135">
        <v>0</v>
      </c>
      <c r="L135">
        <v>0</v>
      </c>
    </row>
    <row r="136" spans="1:12" x14ac:dyDescent="0.3">
      <c r="A136" s="11" t="s">
        <v>166</v>
      </c>
      <c r="B136" s="11" t="s">
        <v>14</v>
      </c>
      <c r="C136" s="11" t="s">
        <v>45</v>
      </c>
      <c r="D136">
        <v>2</v>
      </c>
      <c r="E136" s="11" t="s">
        <v>158</v>
      </c>
      <c r="F136" s="11" t="s">
        <v>12</v>
      </c>
      <c r="G136">
        <v>48</v>
      </c>
      <c r="H136" s="11" t="s">
        <v>137</v>
      </c>
      <c r="I136" s="11" t="s">
        <v>142</v>
      </c>
      <c r="J136" s="11" t="s">
        <v>19</v>
      </c>
      <c r="K136">
        <v>0</v>
      </c>
      <c r="L136">
        <v>0</v>
      </c>
    </row>
    <row r="137" spans="1:12" x14ac:dyDescent="0.3">
      <c r="A137" s="11" t="s">
        <v>46</v>
      </c>
      <c r="B137" s="11" t="s">
        <v>34</v>
      </c>
      <c r="C137" s="11" t="s">
        <v>97</v>
      </c>
      <c r="D137" t="s">
        <v>24</v>
      </c>
      <c r="E137" s="11" t="s">
        <v>11</v>
      </c>
      <c r="F137" s="11" t="s">
        <v>12</v>
      </c>
      <c r="G137">
        <v>34</v>
      </c>
      <c r="H137" s="11" t="s">
        <v>137</v>
      </c>
      <c r="I137" s="11" t="s">
        <v>142</v>
      </c>
      <c r="J137" s="11" t="s">
        <v>21</v>
      </c>
      <c r="K137">
        <v>0</v>
      </c>
      <c r="L137">
        <v>0</v>
      </c>
    </row>
    <row r="138" spans="1:12" x14ac:dyDescent="0.3">
      <c r="A138" s="11" t="s">
        <v>22</v>
      </c>
      <c r="B138" s="11" t="s">
        <v>14</v>
      </c>
      <c r="C138" s="11" t="s">
        <v>41</v>
      </c>
      <c r="D138">
        <v>34</v>
      </c>
      <c r="E138" s="11" t="s">
        <v>25</v>
      </c>
      <c r="F138" s="11" t="s">
        <v>12</v>
      </c>
      <c r="G138">
        <v>57</v>
      </c>
      <c r="H138" s="11" t="s">
        <v>136</v>
      </c>
      <c r="I138" s="11" t="s">
        <v>142</v>
      </c>
      <c r="J138" s="11" t="s">
        <v>36</v>
      </c>
      <c r="K138">
        <v>0</v>
      </c>
      <c r="L138">
        <v>0</v>
      </c>
    </row>
    <row r="139" spans="1:12" x14ac:dyDescent="0.3">
      <c r="A139" s="11" t="s">
        <v>38</v>
      </c>
      <c r="B139" s="11" t="s">
        <v>64</v>
      </c>
      <c r="C139" s="11" t="s">
        <v>64</v>
      </c>
      <c r="D139">
        <v>234</v>
      </c>
      <c r="E139" s="11" t="s">
        <v>39</v>
      </c>
      <c r="F139" s="11" t="s">
        <v>12</v>
      </c>
      <c r="G139">
        <v>55</v>
      </c>
      <c r="H139" s="11" t="s">
        <v>136</v>
      </c>
      <c r="I139" s="11" t="s">
        <v>142</v>
      </c>
      <c r="J139" s="11" t="s">
        <v>36</v>
      </c>
      <c r="K139">
        <v>0</v>
      </c>
      <c r="L139">
        <v>0</v>
      </c>
    </row>
    <row r="140" spans="1:12" x14ac:dyDescent="0.3">
      <c r="A140" s="11" t="s">
        <v>8</v>
      </c>
      <c r="B140" s="11" t="s">
        <v>34</v>
      </c>
      <c r="C140" s="11" t="s">
        <v>98</v>
      </c>
      <c r="D140">
        <v>2</v>
      </c>
      <c r="E140" s="11" t="s">
        <v>11</v>
      </c>
      <c r="F140" s="11" t="s">
        <v>12</v>
      </c>
      <c r="G140">
        <v>18</v>
      </c>
      <c r="H140" s="11" t="s">
        <v>136</v>
      </c>
      <c r="I140" s="11" t="s">
        <v>142</v>
      </c>
      <c r="J140" s="11" t="s">
        <v>31</v>
      </c>
      <c r="K140">
        <v>0</v>
      </c>
      <c r="L140">
        <v>1</v>
      </c>
    </row>
    <row r="141" spans="1:12" x14ac:dyDescent="0.3">
      <c r="A141" s="11" t="s">
        <v>8</v>
      </c>
      <c r="B141" s="11" t="s">
        <v>64</v>
      </c>
      <c r="C141" s="11" t="s">
        <v>99</v>
      </c>
      <c r="D141">
        <v>36</v>
      </c>
      <c r="E141" s="11" t="s">
        <v>11</v>
      </c>
      <c r="F141" s="11" t="s">
        <v>12</v>
      </c>
      <c r="G141">
        <v>21</v>
      </c>
      <c r="H141" s="11" t="s">
        <v>136</v>
      </c>
      <c r="I141" s="11" t="s">
        <v>142</v>
      </c>
      <c r="J141" s="11" t="s">
        <v>17</v>
      </c>
      <c r="K141">
        <v>0</v>
      </c>
      <c r="L141">
        <v>0</v>
      </c>
    </row>
    <row r="142" spans="1:12" x14ac:dyDescent="0.3">
      <c r="A142" s="11" t="s">
        <v>8</v>
      </c>
      <c r="B142" s="11" t="s">
        <v>14</v>
      </c>
      <c r="C142" s="11" t="s">
        <v>18</v>
      </c>
      <c r="D142">
        <v>245</v>
      </c>
      <c r="E142" s="11" t="s">
        <v>62</v>
      </c>
      <c r="F142" s="11" t="s">
        <v>12</v>
      </c>
      <c r="G142">
        <v>30</v>
      </c>
      <c r="H142" s="11" t="s">
        <v>133</v>
      </c>
      <c r="I142" s="11" t="s">
        <v>142</v>
      </c>
      <c r="J142" s="11" t="s">
        <v>21</v>
      </c>
      <c r="K142">
        <v>0</v>
      </c>
      <c r="L142">
        <v>0</v>
      </c>
    </row>
    <row r="143" spans="1:12" x14ac:dyDescent="0.3">
      <c r="A143" s="11" t="s">
        <v>8</v>
      </c>
      <c r="B143" s="11" t="s">
        <v>14</v>
      </c>
      <c r="C143" s="11" t="s">
        <v>61</v>
      </c>
      <c r="D143">
        <v>34</v>
      </c>
      <c r="E143" s="11" t="s">
        <v>11</v>
      </c>
      <c r="F143" s="11" t="s">
        <v>12</v>
      </c>
      <c r="G143">
        <v>21</v>
      </c>
      <c r="H143" s="11" t="s">
        <v>133</v>
      </c>
      <c r="I143" s="11" t="s">
        <v>142</v>
      </c>
      <c r="J143" s="11" t="s">
        <v>17</v>
      </c>
      <c r="K143">
        <v>0</v>
      </c>
      <c r="L143">
        <v>0</v>
      </c>
    </row>
    <row r="144" spans="1:12" x14ac:dyDescent="0.3">
      <c r="A144" s="11" t="s">
        <v>166</v>
      </c>
      <c r="B144" s="11" t="s">
        <v>29</v>
      </c>
      <c r="C144" s="11" t="s">
        <v>100</v>
      </c>
      <c r="D144">
        <v>4</v>
      </c>
      <c r="E144" s="11" t="s">
        <v>158</v>
      </c>
      <c r="F144" s="11" t="s">
        <v>12</v>
      </c>
      <c r="G144">
        <v>37</v>
      </c>
      <c r="H144" s="11" t="s">
        <v>133</v>
      </c>
      <c r="I144" s="11" t="s">
        <v>142</v>
      </c>
      <c r="J144" s="11" t="s">
        <v>32</v>
      </c>
      <c r="K144">
        <v>0</v>
      </c>
      <c r="L144">
        <v>0</v>
      </c>
    </row>
    <row r="145" spans="1:12" x14ac:dyDescent="0.3">
      <c r="A145" s="11" t="s">
        <v>22</v>
      </c>
      <c r="B145" s="11" t="s">
        <v>14</v>
      </c>
      <c r="C145" s="11" t="s">
        <v>45</v>
      </c>
      <c r="D145">
        <v>2</v>
      </c>
      <c r="E145" s="11" t="s">
        <v>62</v>
      </c>
      <c r="F145" s="11" t="s">
        <v>12</v>
      </c>
      <c r="G145" t="s">
        <v>68</v>
      </c>
      <c r="H145" s="11" t="s">
        <v>138</v>
      </c>
      <c r="I145" s="11" t="s">
        <v>142</v>
      </c>
      <c r="J145" s="11" t="s">
        <v>68</v>
      </c>
      <c r="K145">
        <v>0</v>
      </c>
      <c r="L145">
        <v>0</v>
      </c>
    </row>
    <row r="146" spans="1:12" x14ac:dyDescent="0.3">
      <c r="A146" s="11" t="s">
        <v>22</v>
      </c>
      <c r="B146" s="11" t="s">
        <v>64</v>
      </c>
      <c r="C146" s="11" t="s">
        <v>101</v>
      </c>
      <c r="D146">
        <v>415</v>
      </c>
      <c r="E146" s="11" t="s">
        <v>11</v>
      </c>
      <c r="F146" s="11" t="s">
        <v>12</v>
      </c>
      <c r="G146">
        <v>48</v>
      </c>
      <c r="H146" s="11" t="s">
        <v>138</v>
      </c>
      <c r="I146" s="11" t="s">
        <v>142</v>
      </c>
      <c r="J146" s="11" t="s">
        <v>19</v>
      </c>
      <c r="K146">
        <v>1</v>
      </c>
      <c r="L146">
        <v>0</v>
      </c>
    </row>
    <row r="147" spans="1:12" x14ac:dyDescent="0.3">
      <c r="A147" s="11" t="s">
        <v>8</v>
      </c>
      <c r="B147" s="11" t="s">
        <v>50</v>
      </c>
      <c r="C147" s="11" t="s">
        <v>50</v>
      </c>
      <c r="D147">
        <v>2</v>
      </c>
      <c r="E147" s="11" t="s">
        <v>11</v>
      </c>
      <c r="F147" s="11" t="s">
        <v>12</v>
      </c>
      <c r="G147">
        <v>36</v>
      </c>
      <c r="H147" s="11" t="s">
        <v>135</v>
      </c>
      <c r="I147" s="11" t="s">
        <v>142</v>
      </c>
      <c r="J147" s="11" t="s">
        <v>32</v>
      </c>
      <c r="K147">
        <v>0</v>
      </c>
      <c r="L147">
        <v>0</v>
      </c>
    </row>
    <row r="148" spans="1:12" x14ac:dyDescent="0.3">
      <c r="A148" s="11" t="s">
        <v>166</v>
      </c>
      <c r="B148" s="11" t="s">
        <v>14</v>
      </c>
      <c r="C148" s="11" t="s">
        <v>41</v>
      </c>
      <c r="D148">
        <v>34</v>
      </c>
      <c r="E148" s="11" t="s">
        <v>158</v>
      </c>
      <c r="F148" s="11" t="s">
        <v>12</v>
      </c>
      <c r="G148" t="s">
        <v>68</v>
      </c>
      <c r="H148" s="11" t="s">
        <v>135</v>
      </c>
      <c r="I148" s="11" t="s">
        <v>142</v>
      </c>
      <c r="J148" s="11" t="s">
        <v>68</v>
      </c>
      <c r="K148">
        <v>0</v>
      </c>
      <c r="L148">
        <v>0</v>
      </c>
    </row>
    <row r="149" spans="1:12" x14ac:dyDescent="0.3">
      <c r="A149" s="11" t="s">
        <v>8</v>
      </c>
      <c r="B149" s="11" t="s">
        <v>14</v>
      </c>
      <c r="C149" s="11" t="s">
        <v>15</v>
      </c>
      <c r="D149">
        <v>34</v>
      </c>
      <c r="E149" s="11" t="s">
        <v>11</v>
      </c>
      <c r="F149" s="11" t="s">
        <v>12</v>
      </c>
      <c r="G149">
        <v>27</v>
      </c>
      <c r="H149" s="11" t="s">
        <v>134</v>
      </c>
      <c r="I149" s="11" t="s">
        <v>142</v>
      </c>
      <c r="J149" s="11" t="s">
        <v>13</v>
      </c>
      <c r="K149">
        <v>0</v>
      </c>
      <c r="L149">
        <v>0</v>
      </c>
    </row>
    <row r="150" spans="1:12" x14ac:dyDescent="0.3">
      <c r="A150" s="11" t="s">
        <v>166</v>
      </c>
      <c r="B150" s="11" t="s">
        <v>9</v>
      </c>
      <c r="C150" s="11" t="s">
        <v>52</v>
      </c>
      <c r="D150">
        <v>21</v>
      </c>
      <c r="E150" s="11" t="s">
        <v>158</v>
      </c>
      <c r="F150" s="11" t="s">
        <v>102</v>
      </c>
      <c r="G150">
        <v>33</v>
      </c>
      <c r="H150" s="11" t="s">
        <v>132</v>
      </c>
      <c r="I150" s="11" t="s">
        <v>142</v>
      </c>
      <c r="J150" s="11" t="s">
        <v>21</v>
      </c>
      <c r="K150">
        <v>0</v>
      </c>
      <c r="L150">
        <v>0</v>
      </c>
    </row>
    <row r="151" spans="1:12" x14ac:dyDescent="0.3">
      <c r="A151" s="11" t="s">
        <v>22</v>
      </c>
      <c r="B151" s="11" t="s">
        <v>29</v>
      </c>
      <c r="C151" s="11" t="s">
        <v>92</v>
      </c>
      <c r="D151">
        <v>141</v>
      </c>
      <c r="E151" s="11" t="s">
        <v>11</v>
      </c>
      <c r="F151" s="11" t="s">
        <v>12</v>
      </c>
      <c r="G151">
        <v>22</v>
      </c>
      <c r="H151" s="11" t="s">
        <v>132</v>
      </c>
      <c r="I151" s="11" t="s">
        <v>142</v>
      </c>
      <c r="J151" s="11" t="s">
        <v>17</v>
      </c>
      <c r="K151">
        <v>1</v>
      </c>
      <c r="L151">
        <v>0</v>
      </c>
    </row>
    <row r="152" spans="1:12" x14ac:dyDescent="0.3">
      <c r="A152" s="11" t="s">
        <v>8</v>
      </c>
      <c r="B152" s="11" t="s">
        <v>9</v>
      </c>
      <c r="C152" s="11" t="s">
        <v>77</v>
      </c>
      <c r="D152">
        <v>1</v>
      </c>
      <c r="E152" s="11" t="s">
        <v>11</v>
      </c>
      <c r="F152" s="11" t="s">
        <v>12</v>
      </c>
      <c r="G152">
        <v>29</v>
      </c>
      <c r="H152" s="11" t="s">
        <v>132</v>
      </c>
      <c r="I152" s="11" t="s">
        <v>142</v>
      </c>
      <c r="J152" s="11" t="s">
        <v>13</v>
      </c>
      <c r="K152">
        <v>1</v>
      </c>
      <c r="L152">
        <v>0</v>
      </c>
    </row>
    <row r="153" spans="1:12" x14ac:dyDescent="0.3">
      <c r="A153" s="11" t="s">
        <v>8</v>
      </c>
      <c r="B153" s="11" t="s">
        <v>9</v>
      </c>
      <c r="C153" s="11" t="s">
        <v>52</v>
      </c>
      <c r="D153">
        <v>153</v>
      </c>
      <c r="E153" s="11" t="s">
        <v>11</v>
      </c>
      <c r="F153" s="11" t="s">
        <v>12</v>
      </c>
      <c r="G153">
        <v>39</v>
      </c>
      <c r="H153" s="11" t="s">
        <v>138</v>
      </c>
      <c r="I153" s="11" t="s">
        <v>142</v>
      </c>
      <c r="J153" s="11" t="s">
        <v>32</v>
      </c>
      <c r="K153">
        <v>1</v>
      </c>
      <c r="L153">
        <v>0</v>
      </c>
    </row>
    <row r="154" spans="1:12" x14ac:dyDescent="0.3">
      <c r="A154" s="11" t="s">
        <v>38</v>
      </c>
      <c r="B154" s="11" t="s">
        <v>29</v>
      </c>
      <c r="C154" s="11" t="s">
        <v>29</v>
      </c>
      <c r="D154">
        <v>126</v>
      </c>
      <c r="E154" s="11" t="s">
        <v>39</v>
      </c>
      <c r="F154" s="11" t="s">
        <v>12</v>
      </c>
      <c r="G154">
        <v>16</v>
      </c>
      <c r="H154" s="11" t="s">
        <v>138</v>
      </c>
      <c r="I154" s="11" t="s">
        <v>142</v>
      </c>
      <c r="J154" s="11" t="s">
        <v>31</v>
      </c>
      <c r="K154">
        <v>0</v>
      </c>
      <c r="L154">
        <v>0</v>
      </c>
    </row>
    <row r="155" spans="1:12" x14ac:dyDescent="0.3">
      <c r="A155" s="11" t="s">
        <v>22</v>
      </c>
      <c r="B155" s="11" t="s">
        <v>34</v>
      </c>
      <c r="C155" s="11" t="s">
        <v>85</v>
      </c>
      <c r="D155">
        <v>313</v>
      </c>
      <c r="E155" s="11" t="s">
        <v>11</v>
      </c>
      <c r="F155" s="11" t="s">
        <v>12</v>
      </c>
      <c r="G155">
        <v>22</v>
      </c>
      <c r="H155" s="11" t="s">
        <v>138</v>
      </c>
      <c r="I155" s="11" t="s">
        <v>142</v>
      </c>
      <c r="J155" s="11" t="s">
        <v>17</v>
      </c>
      <c r="K155">
        <v>1</v>
      </c>
      <c r="L155">
        <v>0</v>
      </c>
    </row>
    <row r="156" spans="1:12" x14ac:dyDescent="0.3">
      <c r="A156" s="11" t="s">
        <v>8</v>
      </c>
      <c r="B156" s="11" t="s">
        <v>14</v>
      </c>
      <c r="C156" s="11" t="s">
        <v>14</v>
      </c>
      <c r="D156" t="s">
        <v>24</v>
      </c>
      <c r="E156" s="11" t="s">
        <v>11</v>
      </c>
      <c r="F156" s="11" t="s">
        <v>12</v>
      </c>
      <c r="G156" t="s">
        <v>68</v>
      </c>
      <c r="H156" s="11" t="s">
        <v>136</v>
      </c>
      <c r="I156" s="11" t="s">
        <v>142</v>
      </c>
      <c r="J156" s="11" t="s">
        <v>68</v>
      </c>
      <c r="K156">
        <v>0</v>
      </c>
      <c r="L156">
        <v>0</v>
      </c>
    </row>
    <row r="157" spans="1:12" x14ac:dyDescent="0.3">
      <c r="A157" s="11" t="s">
        <v>22</v>
      </c>
      <c r="B157" s="11" t="s">
        <v>14</v>
      </c>
      <c r="C157" s="11" t="s">
        <v>45</v>
      </c>
      <c r="D157" t="s">
        <v>24</v>
      </c>
      <c r="E157" s="11" t="s">
        <v>11</v>
      </c>
      <c r="F157" s="11" t="s">
        <v>12</v>
      </c>
      <c r="G157">
        <v>25</v>
      </c>
      <c r="H157" s="11" t="s">
        <v>136</v>
      </c>
      <c r="I157" s="11" t="s">
        <v>142</v>
      </c>
      <c r="J157" s="11" t="s">
        <v>13</v>
      </c>
      <c r="K157">
        <v>0</v>
      </c>
      <c r="L157">
        <v>0</v>
      </c>
    </row>
    <row r="158" spans="1:12" x14ac:dyDescent="0.3">
      <c r="A158" s="11" t="s">
        <v>8</v>
      </c>
      <c r="B158" s="11" t="s">
        <v>29</v>
      </c>
      <c r="C158" s="11" t="s">
        <v>30</v>
      </c>
      <c r="D158">
        <v>27</v>
      </c>
      <c r="E158" s="11" t="s">
        <v>82</v>
      </c>
      <c r="F158" s="11" t="s">
        <v>35</v>
      </c>
      <c r="G158">
        <v>55</v>
      </c>
      <c r="H158" s="11" t="s">
        <v>135</v>
      </c>
      <c r="I158" s="11" t="s">
        <v>143</v>
      </c>
      <c r="J158" s="11" t="s">
        <v>36</v>
      </c>
      <c r="K158">
        <v>0</v>
      </c>
      <c r="L158">
        <v>0</v>
      </c>
    </row>
    <row r="159" spans="1:12" x14ac:dyDescent="0.3">
      <c r="A159" s="11" t="s">
        <v>8</v>
      </c>
      <c r="B159" s="11" t="s">
        <v>29</v>
      </c>
      <c r="C159" s="11" t="s">
        <v>57</v>
      </c>
      <c r="D159">
        <v>35</v>
      </c>
      <c r="E159" s="11" t="s">
        <v>11</v>
      </c>
      <c r="F159" s="11" t="s">
        <v>12</v>
      </c>
      <c r="G159" t="s">
        <v>68</v>
      </c>
      <c r="H159" s="11" t="s">
        <v>135</v>
      </c>
      <c r="I159" s="11" t="s">
        <v>143</v>
      </c>
      <c r="J159" s="11" t="s">
        <v>68</v>
      </c>
      <c r="K159">
        <v>0</v>
      </c>
      <c r="L159">
        <v>0</v>
      </c>
    </row>
    <row r="160" spans="1:12" x14ac:dyDescent="0.3">
      <c r="A160" s="11" t="s">
        <v>166</v>
      </c>
      <c r="B160" s="11" t="s">
        <v>14</v>
      </c>
      <c r="C160" s="11" t="s">
        <v>14</v>
      </c>
      <c r="D160">
        <v>17</v>
      </c>
      <c r="E160" s="11" t="s">
        <v>158</v>
      </c>
      <c r="F160" s="11" t="s">
        <v>12</v>
      </c>
      <c r="G160">
        <v>29</v>
      </c>
      <c r="H160" s="11" t="s">
        <v>132</v>
      </c>
      <c r="I160" s="11" t="s">
        <v>143</v>
      </c>
      <c r="J160" s="11" t="s">
        <v>13</v>
      </c>
      <c r="K160">
        <v>0</v>
      </c>
      <c r="L160">
        <v>0</v>
      </c>
    </row>
    <row r="161" spans="1:12" x14ac:dyDescent="0.3">
      <c r="A161" s="11" t="s">
        <v>166</v>
      </c>
      <c r="B161" s="11" t="s">
        <v>14</v>
      </c>
      <c r="C161" s="11" t="s">
        <v>14</v>
      </c>
      <c r="D161">
        <v>17</v>
      </c>
      <c r="E161" s="11" t="s">
        <v>158</v>
      </c>
      <c r="F161" s="11" t="s">
        <v>12</v>
      </c>
      <c r="G161" t="s">
        <v>68</v>
      </c>
      <c r="H161" s="11" t="s">
        <v>132</v>
      </c>
      <c r="I161" s="11" t="s">
        <v>143</v>
      </c>
      <c r="J161" s="11" t="s">
        <v>68</v>
      </c>
      <c r="K161">
        <v>0</v>
      </c>
      <c r="L161">
        <v>0</v>
      </c>
    </row>
    <row r="162" spans="1:12" x14ac:dyDescent="0.3">
      <c r="A162" s="11" t="s">
        <v>22</v>
      </c>
      <c r="B162" s="11" t="s">
        <v>64</v>
      </c>
      <c r="C162" s="11" t="s">
        <v>101</v>
      </c>
      <c r="D162">
        <v>32</v>
      </c>
      <c r="E162" s="11" t="s">
        <v>11</v>
      </c>
      <c r="F162" s="11" t="s">
        <v>12</v>
      </c>
      <c r="G162">
        <v>60</v>
      </c>
      <c r="H162" s="11" t="s">
        <v>132</v>
      </c>
      <c r="I162" s="11" t="s">
        <v>143</v>
      </c>
      <c r="J162" s="11" t="s">
        <v>49</v>
      </c>
      <c r="K162">
        <v>1</v>
      </c>
      <c r="L162">
        <v>0</v>
      </c>
    </row>
    <row r="163" spans="1:12" x14ac:dyDescent="0.3">
      <c r="A163" s="11" t="s">
        <v>8</v>
      </c>
      <c r="B163" s="11" t="s">
        <v>34</v>
      </c>
      <c r="C163" s="11" t="s">
        <v>34</v>
      </c>
      <c r="D163" t="s">
        <v>24</v>
      </c>
      <c r="E163" s="11" t="s">
        <v>11</v>
      </c>
      <c r="F163" s="11" t="s">
        <v>12</v>
      </c>
      <c r="G163">
        <v>36</v>
      </c>
      <c r="H163" s="11" t="s">
        <v>132</v>
      </c>
      <c r="I163" s="11" t="s">
        <v>143</v>
      </c>
      <c r="J163" s="11" t="s">
        <v>32</v>
      </c>
      <c r="K163">
        <v>1</v>
      </c>
      <c r="L163">
        <v>0</v>
      </c>
    </row>
    <row r="164" spans="1:12" x14ac:dyDescent="0.3">
      <c r="A164" s="11" t="s">
        <v>8</v>
      </c>
      <c r="B164" s="11" t="s">
        <v>29</v>
      </c>
      <c r="C164" s="11" t="s">
        <v>103</v>
      </c>
      <c r="D164">
        <v>744</v>
      </c>
      <c r="E164" s="11" t="s">
        <v>11</v>
      </c>
      <c r="F164" s="11" t="s">
        <v>12</v>
      </c>
      <c r="G164">
        <v>36</v>
      </c>
      <c r="H164" s="11" t="s">
        <v>138</v>
      </c>
      <c r="I164" s="11" t="s">
        <v>143</v>
      </c>
      <c r="J164" s="11" t="s">
        <v>32</v>
      </c>
      <c r="K164">
        <v>1</v>
      </c>
      <c r="L164">
        <v>0</v>
      </c>
    </row>
    <row r="165" spans="1:12" x14ac:dyDescent="0.3">
      <c r="A165" s="11" t="s">
        <v>22</v>
      </c>
      <c r="B165" s="11" t="s">
        <v>34</v>
      </c>
      <c r="C165" s="11" t="s">
        <v>34</v>
      </c>
      <c r="D165">
        <v>1</v>
      </c>
      <c r="E165" s="11" t="s">
        <v>11</v>
      </c>
      <c r="F165" s="11" t="s">
        <v>12</v>
      </c>
      <c r="G165">
        <v>72</v>
      </c>
      <c r="H165" s="11" t="s">
        <v>135</v>
      </c>
      <c r="I165" s="11" t="s">
        <v>143</v>
      </c>
      <c r="J165" s="11" t="s">
        <v>94</v>
      </c>
      <c r="K165">
        <v>0</v>
      </c>
      <c r="L165">
        <v>0</v>
      </c>
    </row>
    <row r="166" spans="1:12" x14ac:dyDescent="0.3">
      <c r="A166" s="11" t="s">
        <v>22</v>
      </c>
      <c r="B166" s="11" t="s">
        <v>14</v>
      </c>
      <c r="C166" s="11" t="s">
        <v>18</v>
      </c>
      <c r="D166">
        <v>34</v>
      </c>
      <c r="E166" s="11" t="s">
        <v>16</v>
      </c>
      <c r="F166" s="11" t="s">
        <v>35</v>
      </c>
      <c r="G166">
        <v>23</v>
      </c>
      <c r="H166" s="11" t="s">
        <v>133</v>
      </c>
      <c r="I166" s="11" t="s">
        <v>143</v>
      </c>
      <c r="J166" s="11" t="s">
        <v>17</v>
      </c>
      <c r="K166">
        <v>0</v>
      </c>
      <c r="L166">
        <v>0</v>
      </c>
    </row>
    <row r="167" spans="1:12" x14ac:dyDescent="0.3">
      <c r="A167" s="11" t="s">
        <v>22</v>
      </c>
      <c r="B167" s="11" t="s">
        <v>14</v>
      </c>
      <c r="C167" s="11" t="s">
        <v>14</v>
      </c>
      <c r="D167" t="s">
        <v>24</v>
      </c>
      <c r="E167" s="11" t="s">
        <v>11</v>
      </c>
      <c r="F167" s="11" t="s">
        <v>12</v>
      </c>
      <c r="G167">
        <v>29</v>
      </c>
      <c r="H167" s="11" t="s">
        <v>133</v>
      </c>
      <c r="I167" s="11" t="s">
        <v>143</v>
      </c>
      <c r="J167" s="11" t="s">
        <v>13</v>
      </c>
      <c r="K167">
        <v>0</v>
      </c>
      <c r="L167">
        <v>0</v>
      </c>
    </row>
    <row r="168" spans="1:12" x14ac:dyDescent="0.3">
      <c r="A168" s="11" t="s">
        <v>46</v>
      </c>
      <c r="B168" s="11" t="s">
        <v>34</v>
      </c>
      <c r="C168" s="11" t="s">
        <v>104</v>
      </c>
      <c r="D168" t="s">
        <v>24</v>
      </c>
      <c r="E168" s="11" t="s">
        <v>16</v>
      </c>
      <c r="F168" s="11" t="s">
        <v>12</v>
      </c>
      <c r="G168" t="s">
        <v>68</v>
      </c>
      <c r="H168" s="11" t="s">
        <v>132</v>
      </c>
      <c r="I168" s="11" t="s">
        <v>143</v>
      </c>
      <c r="J168" s="11" t="s">
        <v>68</v>
      </c>
      <c r="K168">
        <v>0</v>
      </c>
      <c r="L168">
        <v>0</v>
      </c>
    </row>
    <row r="169" spans="1:12" x14ac:dyDescent="0.3">
      <c r="A169" s="11" t="s">
        <v>8</v>
      </c>
      <c r="B169" s="11" t="s">
        <v>9</v>
      </c>
      <c r="C169" s="11" t="s">
        <v>20</v>
      </c>
      <c r="D169">
        <v>21</v>
      </c>
      <c r="E169" s="11" t="s">
        <v>11</v>
      </c>
      <c r="F169" s="11" t="s">
        <v>102</v>
      </c>
      <c r="G169">
        <v>27</v>
      </c>
      <c r="H169" s="11" t="s">
        <v>132</v>
      </c>
      <c r="I169" s="11" t="s">
        <v>143</v>
      </c>
      <c r="J169" s="11" t="s">
        <v>13</v>
      </c>
      <c r="K169">
        <v>1</v>
      </c>
      <c r="L169">
        <v>0</v>
      </c>
    </row>
    <row r="170" spans="1:12" x14ac:dyDescent="0.3">
      <c r="A170" s="11" t="s">
        <v>8</v>
      </c>
      <c r="B170" s="11" t="s">
        <v>14</v>
      </c>
      <c r="C170" s="11" t="s">
        <v>18</v>
      </c>
      <c r="D170">
        <v>34</v>
      </c>
      <c r="E170" s="11" t="s">
        <v>11</v>
      </c>
      <c r="F170" s="11" t="s">
        <v>12</v>
      </c>
      <c r="G170">
        <v>27</v>
      </c>
      <c r="H170" s="11" t="s">
        <v>132</v>
      </c>
      <c r="I170" s="11" t="s">
        <v>143</v>
      </c>
      <c r="J170" s="11" t="s">
        <v>13</v>
      </c>
      <c r="K170">
        <v>1</v>
      </c>
      <c r="L170">
        <v>0</v>
      </c>
    </row>
    <row r="171" spans="1:12" x14ac:dyDescent="0.3">
      <c r="A171" s="11" t="s">
        <v>22</v>
      </c>
      <c r="B171" s="11" t="s">
        <v>64</v>
      </c>
      <c r="C171" s="11" t="s">
        <v>70</v>
      </c>
      <c r="D171">
        <v>810</v>
      </c>
      <c r="E171" s="11" t="s">
        <v>11</v>
      </c>
      <c r="F171" s="11" t="s">
        <v>12</v>
      </c>
      <c r="G171">
        <v>48</v>
      </c>
      <c r="H171" s="11" t="s">
        <v>138</v>
      </c>
      <c r="I171" s="11" t="s">
        <v>143</v>
      </c>
      <c r="J171" s="11" t="s">
        <v>19</v>
      </c>
      <c r="K171">
        <v>1</v>
      </c>
      <c r="L171">
        <v>0</v>
      </c>
    </row>
    <row r="172" spans="1:12" x14ac:dyDescent="0.3">
      <c r="A172" s="11" t="s">
        <v>8</v>
      </c>
      <c r="B172" s="11" t="s">
        <v>29</v>
      </c>
      <c r="C172" s="11" t="s">
        <v>105</v>
      </c>
      <c r="D172">
        <v>107</v>
      </c>
      <c r="E172" s="11" t="s">
        <v>25</v>
      </c>
      <c r="F172" s="11" t="s">
        <v>12</v>
      </c>
      <c r="G172">
        <v>22</v>
      </c>
      <c r="H172" s="11" t="s">
        <v>138</v>
      </c>
      <c r="I172" s="11" t="s">
        <v>143</v>
      </c>
      <c r="J172" s="11" t="s">
        <v>17</v>
      </c>
      <c r="K172">
        <v>0</v>
      </c>
      <c r="L172">
        <v>0</v>
      </c>
    </row>
    <row r="173" spans="1:12" x14ac:dyDescent="0.3">
      <c r="A173" s="11" t="s">
        <v>8</v>
      </c>
      <c r="B173" s="11" t="s">
        <v>64</v>
      </c>
      <c r="C173" s="11" t="s">
        <v>70</v>
      </c>
      <c r="D173">
        <v>32</v>
      </c>
      <c r="E173" s="11" t="s">
        <v>11</v>
      </c>
      <c r="F173" s="11" t="s">
        <v>12</v>
      </c>
      <c r="G173">
        <v>25</v>
      </c>
      <c r="H173" s="11" t="s">
        <v>138</v>
      </c>
      <c r="I173" s="11" t="s">
        <v>143</v>
      </c>
      <c r="J173" s="11" t="s">
        <v>13</v>
      </c>
      <c r="K173">
        <v>1</v>
      </c>
      <c r="L173">
        <v>0</v>
      </c>
    </row>
    <row r="174" spans="1:12" x14ac:dyDescent="0.3">
      <c r="A174" s="11" t="s">
        <v>166</v>
      </c>
      <c r="B174" s="11" t="s">
        <v>40</v>
      </c>
      <c r="C174" s="11" t="s">
        <v>40</v>
      </c>
      <c r="D174">
        <v>1</v>
      </c>
      <c r="E174" s="11" t="s">
        <v>158</v>
      </c>
      <c r="F174" s="11" t="s">
        <v>12</v>
      </c>
      <c r="G174">
        <v>38</v>
      </c>
      <c r="H174" s="11" t="s">
        <v>138</v>
      </c>
      <c r="I174" s="11" t="s">
        <v>143</v>
      </c>
      <c r="J174" s="11" t="s">
        <v>32</v>
      </c>
      <c r="K174">
        <v>0</v>
      </c>
      <c r="L174">
        <v>0</v>
      </c>
    </row>
    <row r="175" spans="1:12" x14ac:dyDescent="0.3">
      <c r="A175" s="11" t="s">
        <v>8</v>
      </c>
      <c r="B175" s="11" t="s">
        <v>14</v>
      </c>
      <c r="C175" s="11" t="s">
        <v>45</v>
      </c>
      <c r="D175">
        <v>2</v>
      </c>
      <c r="E175" s="11" t="s">
        <v>11</v>
      </c>
      <c r="F175" s="11" t="s">
        <v>12</v>
      </c>
      <c r="G175">
        <v>17</v>
      </c>
      <c r="H175" s="11" t="s">
        <v>138</v>
      </c>
      <c r="I175" s="11" t="s">
        <v>143</v>
      </c>
      <c r="J175" s="11" t="s">
        <v>31</v>
      </c>
      <c r="K175">
        <v>1</v>
      </c>
      <c r="L175">
        <v>1</v>
      </c>
    </row>
    <row r="176" spans="1:12" x14ac:dyDescent="0.3">
      <c r="A176" s="11" t="s">
        <v>22</v>
      </c>
      <c r="B176" s="11" t="s">
        <v>9</v>
      </c>
      <c r="C176" s="11" t="s">
        <v>77</v>
      </c>
      <c r="D176" t="s">
        <v>24</v>
      </c>
      <c r="E176" s="11" t="s">
        <v>62</v>
      </c>
      <c r="F176" s="11" t="s">
        <v>12</v>
      </c>
      <c r="G176">
        <v>12</v>
      </c>
      <c r="H176" s="11" t="s">
        <v>137</v>
      </c>
      <c r="I176" s="11" t="s">
        <v>143</v>
      </c>
      <c r="J176" s="11" t="s">
        <v>43</v>
      </c>
      <c r="K176">
        <v>0</v>
      </c>
      <c r="L176">
        <v>0</v>
      </c>
    </row>
    <row r="177" spans="1:12" x14ac:dyDescent="0.3">
      <c r="A177" s="11" t="s">
        <v>8</v>
      </c>
      <c r="B177" s="11" t="s">
        <v>34</v>
      </c>
      <c r="C177" s="11" t="s">
        <v>104</v>
      </c>
      <c r="D177" t="s">
        <v>24</v>
      </c>
      <c r="E177" s="11" t="s">
        <v>11</v>
      </c>
      <c r="F177" s="11" t="s">
        <v>12</v>
      </c>
      <c r="G177">
        <v>18</v>
      </c>
      <c r="H177" s="11" t="s">
        <v>135</v>
      </c>
      <c r="I177" s="11" t="s">
        <v>143</v>
      </c>
      <c r="J177" s="11" t="s">
        <v>31</v>
      </c>
      <c r="K177">
        <v>0</v>
      </c>
      <c r="L177">
        <v>1</v>
      </c>
    </row>
    <row r="178" spans="1:12" x14ac:dyDescent="0.3">
      <c r="A178" s="11" t="s">
        <v>22</v>
      </c>
      <c r="B178" s="11" t="s">
        <v>50</v>
      </c>
      <c r="C178" s="11" t="s">
        <v>58</v>
      </c>
      <c r="D178">
        <v>2</v>
      </c>
      <c r="E178" s="11" t="s">
        <v>11</v>
      </c>
      <c r="F178" s="11" t="s">
        <v>12</v>
      </c>
      <c r="G178">
        <v>56</v>
      </c>
      <c r="H178" s="11" t="s">
        <v>135</v>
      </c>
      <c r="I178" s="11" t="s">
        <v>143</v>
      </c>
      <c r="J178" s="11" t="s">
        <v>36</v>
      </c>
      <c r="K178">
        <v>0</v>
      </c>
      <c r="L178">
        <v>0</v>
      </c>
    </row>
    <row r="179" spans="1:12" x14ac:dyDescent="0.3">
      <c r="A179" s="11" t="s">
        <v>22</v>
      </c>
      <c r="B179" s="11" t="s">
        <v>14</v>
      </c>
      <c r="C179" s="11" t="s">
        <v>14</v>
      </c>
      <c r="D179">
        <v>160</v>
      </c>
      <c r="E179" s="11" t="s">
        <v>11</v>
      </c>
      <c r="F179" s="11" t="s">
        <v>12</v>
      </c>
      <c r="G179">
        <v>36</v>
      </c>
      <c r="H179" s="11" t="s">
        <v>133</v>
      </c>
      <c r="I179" s="11" t="s">
        <v>143</v>
      </c>
      <c r="J179" s="11" t="s">
        <v>32</v>
      </c>
      <c r="K179">
        <v>0</v>
      </c>
      <c r="L179">
        <v>0</v>
      </c>
    </row>
    <row r="180" spans="1:12" x14ac:dyDescent="0.3">
      <c r="A180" s="11" t="s">
        <v>22</v>
      </c>
      <c r="B180" s="11" t="s">
        <v>14</v>
      </c>
      <c r="C180" s="11" t="s">
        <v>18</v>
      </c>
      <c r="D180">
        <v>34</v>
      </c>
      <c r="E180" s="11" t="s">
        <v>11</v>
      </c>
      <c r="F180" s="11" t="s">
        <v>102</v>
      </c>
      <c r="G180">
        <v>30</v>
      </c>
      <c r="H180" s="11" t="s">
        <v>132</v>
      </c>
      <c r="I180" s="11" t="s">
        <v>143</v>
      </c>
      <c r="J180" s="11" t="s">
        <v>21</v>
      </c>
      <c r="K180">
        <v>1</v>
      </c>
      <c r="L180">
        <v>0</v>
      </c>
    </row>
    <row r="181" spans="1:12" x14ac:dyDescent="0.3">
      <c r="A181" s="11" t="s">
        <v>22</v>
      </c>
      <c r="B181" s="11" t="s">
        <v>40</v>
      </c>
      <c r="C181" s="11" t="s">
        <v>40</v>
      </c>
      <c r="D181">
        <v>1</v>
      </c>
      <c r="E181" s="11" t="s">
        <v>62</v>
      </c>
      <c r="F181" s="11" t="s">
        <v>35</v>
      </c>
      <c r="G181">
        <v>30</v>
      </c>
      <c r="H181" s="11" t="s">
        <v>132</v>
      </c>
      <c r="I181" s="11" t="s">
        <v>143</v>
      </c>
      <c r="J181" s="11" t="s">
        <v>21</v>
      </c>
      <c r="K181">
        <v>0</v>
      </c>
      <c r="L181">
        <v>0</v>
      </c>
    </row>
    <row r="182" spans="1:12" x14ac:dyDescent="0.3">
      <c r="A182" s="11" t="s">
        <v>8</v>
      </c>
      <c r="B182" s="11" t="s">
        <v>64</v>
      </c>
      <c r="C182" s="11" t="s">
        <v>106</v>
      </c>
      <c r="D182">
        <v>32</v>
      </c>
      <c r="E182" s="11" t="s">
        <v>25</v>
      </c>
      <c r="F182" s="11" t="s">
        <v>12</v>
      </c>
      <c r="G182" t="s">
        <v>68</v>
      </c>
      <c r="H182" s="11" t="s">
        <v>132</v>
      </c>
      <c r="I182" s="11" t="s">
        <v>143</v>
      </c>
      <c r="J182" s="11" t="s">
        <v>68</v>
      </c>
      <c r="K182">
        <v>0</v>
      </c>
      <c r="L182">
        <v>0</v>
      </c>
    </row>
    <row r="183" spans="1:12" x14ac:dyDescent="0.3">
      <c r="A183" s="11" t="s">
        <v>8</v>
      </c>
      <c r="B183" s="11" t="s">
        <v>64</v>
      </c>
      <c r="C183" s="11" t="s">
        <v>70</v>
      </c>
      <c r="D183">
        <v>32</v>
      </c>
      <c r="E183" s="11" t="s">
        <v>16</v>
      </c>
      <c r="F183" s="11" t="s">
        <v>35</v>
      </c>
      <c r="G183" t="s">
        <v>68</v>
      </c>
      <c r="H183" s="11" t="s">
        <v>132</v>
      </c>
      <c r="I183" s="11" t="s">
        <v>143</v>
      </c>
      <c r="J183" s="11" t="s">
        <v>68</v>
      </c>
      <c r="K183">
        <v>0</v>
      </c>
      <c r="L183">
        <v>0</v>
      </c>
    </row>
    <row r="184" spans="1:12" x14ac:dyDescent="0.3">
      <c r="A184" s="11" t="s">
        <v>38</v>
      </c>
      <c r="B184" s="11" t="s">
        <v>29</v>
      </c>
      <c r="C184" s="11" t="s">
        <v>48</v>
      </c>
      <c r="D184" t="s">
        <v>24</v>
      </c>
      <c r="E184" s="11" t="s">
        <v>39</v>
      </c>
      <c r="F184" s="11" t="s">
        <v>12</v>
      </c>
      <c r="G184">
        <v>61</v>
      </c>
      <c r="H184" s="11" t="s">
        <v>132</v>
      </c>
      <c r="I184" s="11" t="s">
        <v>143</v>
      </c>
      <c r="J184" s="11" t="s">
        <v>49</v>
      </c>
      <c r="K184">
        <v>0</v>
      </c>
      <c r="L184">
        <v>0</v>
      </c>
    </row>
    <row r="185" spans="1:12" x14ac:dyDescent="0.3">
      <c r="A185" s="11" t="s">
        <v>8</v>
      </c>
      <c r="B185" s="11" t="s">
        <v>9</v>
      </c>
      <c r="C185" s="11" t="s">
        <v>23</v>
      </c>
      <c r="D185">
        <v>150</v>
      </c>
      <c r="E185" s="11" t="s">
        <v>11</v>
      </c>
      <c r="F185" s="11" t="s">
        <v>12</v>
      </c>
      <c r="G185">
        <v>24</v>
      </c>
      <c r="H185" s="11" t="s">
        <v>138</v>
      </c>
      <c r="I185" s="11" t="s">
        <v>143</v>
      </c>
      <c r="J185" s="11" t="s">
        <v>17</v>
      </c>
      <c r="K185">
        <v>1</v>
      </c>
      <c r="L185">
        <v>0</v>
      </c>
    </row>
    <row r="186" spans="1:12" x14ac:dyDescent="0.3">
      <c r="A186" s="11" t="s">
        <v>8</v>
      </c>
      <c r="B186" s="11" t="s">
        <v>29</v>
      </c>
      <c r="C186" s="11" t="s">
        <v>57</v>
      </c>
      <c r="D186">
        <v>35</v>
      </c>
      <c r="E186" s="11" t="s">
        <v>25</v>
      </c>
      <c r="F186" s="11" t="s">
        <v>12</v>
      </c>
      <c r="G186">
        <v>19</v>
      </c>
      <c r="H186" s="11" t="s">
        <v>136</v>
      </c>
      <c r="I186" s="11" t="s">
        <v>143</v>
      </c>
      <c r="J186" s="11" t="s">
        <v>31</v>
      </c>
      <c r="K186">
        <v>0</v>
      </c>
      <c r="L186">
        <v>0</v>
      </c>
    </row>
    <row r="187" spans="1:12" x14ac:dyDescent="0.3">
      <c r="A187" s="11" t="s">
        <v>166</v>
      </c>
      <c r="B187" s="11" t="s">
        <v>40</v>
      </c>
      <c r="C187" s="11" t="s">
        <v>86</v>
      </c>
      <c r="D187">
        <v>4</v>
      </c>
      <c r="E187" s="11" t="s">
        <v>158</v>
      </c>
      <c r="F187" s="11" t="s">
        <v>12</v>
      </c>
      <c r="G187">
        <v>48</v>
      </c>
      <c r="H187" s="11" t="s">
        <v>136</v>
      </c>
      <c r="I187" s="11" t="s">
        <v>143</v>
      </c>
      <c r="J187" s="11" t="s">
        <v>19</v>
      </c>
      <c r="K187">
        <v>0</v>
      </c>
      <c r="L187">
        <v>0</v>
      </c>
    </row>
    <row r="188" spans="1:12" x14ac:dyDescent="0.3">
      <c r="A188" s="11" t="s">
        <v>46</v>
      </c>
      <c r="B188" s="11" t="s">
        <v>64</v>
      </c>
      <c r="C188" s="11" t="s">
        <v>101</v>
      </c>
      <c r="D188">
        <v>806</v>
      </c>
      <c r="E188" s="11" t="s">
        <v>11</v>
      </c>
      <c r="F188" s="11" t="s">
        <v>12</v>
      </c>
      <c r="G188">
        <v>35</v>
      </c>
      <c r="H188" s="11" t="s">
        <v>135</v>
      </c>
      <c r="I188" s="11" t="s">
        <v>143</v>
      </c>
      <c r="J188" s="11" t="s">
        <v>32</v>
      </c>
      <c r="K188">
        <v>0</v>
      </c>
      <c r="L188">
        <v>0</v>
      </c>
    </row>
    <row r="189" spans="1:12" x14ac:dyDescent="0.3">
      <c r="A189" s="11" t="s">
        <v>22</v>
      </c>
      <c r="B189" s="11" t="s">
        <v>29</v>
      </c>
      <c r="C189" s="11" t="s">
        <v>48</v>
      </c>
      <c r="D189">
        <v>250</v>
      </c>
      <c r="E189" s="11" t="s">
        <v>11</v>
      </c>
      <c r="F189" s="11" t="s">
        <v>12</v>
      </c>
      <c r="G189">
        <v>26</v>
      </c>
      <c r="H189" s="11" t="s">
        <v>135</v>
      </c>
      <c r="I189" s="11" t="s">
        <v>143</v>
      </c>
      <c r="J189" s="11" t="s">
        <v>13</v>
      </c>
      <c r="K189">
        <v>0</v>
      </c>
      <c r="L189">
        <v>0</v>
      </c>
    </row>
    <row r="190" spans="1:12" x14ac:dyDescent="0.3">
      <c r="A190" s="11" t="s">
        <v>8</v>
      </c>
      <c r="B190" s="11" t="s">
        <v>29</v>
      </c>
      <c r="C190" s="11" t="s">
        <v>29</v>
      </c>
      <c r="D190">
        <v>124</v>
      </c>
      <c r="E190" s="11" t="s">
        <v>11</v>
      </c>
      <c r="F190" s="11" t="s">
        <v>12</v>
      </c>
      <c r="G190">
        <v>39</v>
      </c>
      <c r="H190" s="11" t="s">
        <v>134</v>
      </c>
      <c r="I190" s="11" t="s">
        <v>143</v>
      </c>
      <c r="J190" s="11" t="s">
        <v>32</v>
      </c>
      <c r="K190">
        <v>0</v>
      </c>
      <c r="L190">
        <v>0</v>
      </c>
    </row>
    <row r="191" spans="1:12" x14ac:dyDescent="0.3">
      <c r="A191" s="11" t="s">
        <v>46</v>
      </c>
      <c r="B191" s="11" t="s">
        <v>29</v>
      </c>
      <c r="C191" s="11" t="s">
        <v>29</v>
      </c>
      <c r="D191" t="s">
        <v>24</v>
      </c>
      <c r="E191" s="11" t="s">
        <v>11</v>
      </c>
      <c r="F191" s="11" t="s">
        <v>12</v>
      </c>
      <c r="G191">
        <v>28</v>
      </c>
      <c r="H191" s="11" t="s">
        <v>134</v>
      </c>
      <c r="I191" s="11" t="s">
        <v>143</v>
      </c>
      <c r="J191" s="11" t="s">
        <v>13</v>
      </c>
      <c r="K191">
        <v>0</v>
      </c>
      <c r="L191">
        <v>0</v>
      </c>
    </row>
    <row r="192" spans="1:12" x14ac:dyDescent="0.3">
      <c r="A192" s="11" t="s">
        <v>8</v>
      </c>
      <c r="B192" s="11" t="s">
        <v>9</v>
      </c>
      <c r="C192" s="11" t="s">
        <v>20</v>
      </c>
      <c r="D192" t="s">
        <v>24</v>
      </c>
      <c r="E192" s="11" t="s">
        <v>11</v>
      </c>
      <c r="F192" s="11" t="s">
        <v>12</v>
      </c>
      <c r="G192">
        <v>38</v>
      </c>
      <c r="H192" s="11" t="s">
        <v>133</v>
      </c>
      <c r="I192" s="11" t="s">
        <v>143</v>
      </c>
      <c r="J192" s="11" t="s">
        <v>32</v>
      </c>
      <c r="K192">
        <v>0</v>
      </c>
      <c r="L192">
        <v>0</v>
      </c>
    </row>
    <row r="193" spans="1:12" x14ac:dyDescent="0.3">
      <c r="A193" s="11" t="s">
        <v>8</v>
      </c>
      <c r="B193" s="11" t="s">
        <v>40</v>
      </c>
      <c r="C193" s="11" t="s">
        <v>86</v>
      </c>
      <c r="D193">
        <v>4</v>
      </c>
      <c r="E193" s="11" t="s">
        <v>11</v>
      </c>
      <c r="F193" s="11" t="s">
        <v>12</v>
      </c>
      <c r="G193">
        <v>54</v>
      </c>
      <c r="H193" s="11" t="s">
        <v>132</v>
      </c>
      <c r="I193" s="11" t="s">
        <v>143</v>
      </c>
      <c r="J193" s="11" t="s">
        <v>60</v>
      </c>
      <c r="K193">
        <v>1</v>
      </c>
      <c r="L193">
        <v>0</v>
      </c>
    </row>
    <row r="194" spans="1:12" x14ac:dyDescent="0.3">
      <c r="A194" s="11" t="s">
        <v>8</v>
      </c>
      <c r="B194" s="11" t="s">
        <v>29</v>
      </c>
      <c r="C194" s="11" t="s">
        <v>57</v>
      </c>
      <c r="D194">
        <v>35</v>
      </c>
      <c r="E194" s="11" t="s">
        <v>11</v>
      </c>
      <c r="F194" s="11" t="s">
        <v>12</v>
      </c>
      <c r="G194" t="s">
        <v>68</v>
      </c>
      <c r="H194" s="11" t="s">
        <v>132</v>
      </c>
      <c r="I194" s="11" t="s">
        <v>143</v>
      </c>
      <c r="J194" s="11" t="s">
        <v>68</v>
      </c>
      <c r="K194">
        <v>1</v>
      </c>
      <c r="L194">
        <v>0</v>
      </c>
    </row>
    <row r="195" spans="1:12" x14ac:dyDescent="0.3">
      <c r="A195" s="11" t="s">
        <v>8</v>
      </c>
      <c r="B195" s="11" t="s">
        <v>29</v>
      </c>
      <c r="C195" s="11" t="s">
        <v>48</v>
      </c>
      <c r="D195">
        <v>35</v>
      </c>
      <c r="E195" s="11" t="s">
        <v>11</v>
      </c>
      <c r="F195" s="11" t="s">
        <v>12</v>
      </c>
      <c r="G195">
        <v>24</v>
      </c>
      <c r="H195" s="11" t="s">
        <v>132</v>
      </c>
      <c r="I195" s="11" t="s">
        <v>143</v>
      </c>
      <c r="J195" s="11" t="s">
        <v>17</v>
      </c>
      <c r="K195">
        <v>1</v>
      </c>
      <c r="L195">
        <v>0</v>
      </c>
    </row>
    <row r="196" spans="1:12" x14ac:dyDescent="0.3">
      <c r="A196" s="11" t="s">
        <v>22</v>
      </c>
      <c r="B196" s="11" t="s">
        <v>50</v>
      </c>
      <c r="C196" s="11" t="s">
        <v>95</v>
      </c>
      <c r="D196">
        <v>219</v>
      </c>
      <c r="E196" s="11" t="s">
        <v>11</v>
      </c>
      <c r="F196" s="11" t="s">
        <v>12</v>
      </c>
      <c r="G196">
        <v>24</v>
      </c>
      <c r="H196" s="11" t="s">
        <v>138</v>
      </c>
      <c r="I196" s="11" t="s">
        <v>143</v>
      </c>
      <c r="J196" s="11" t="s">
        <v>17</v>
      </c>
      <c r="K196">
        <v>1</v>
      </c>
      <c r="L196">
        <v>0</v>
      </c>
    </row>
    <row r="197" spans="1:12" x14ac:dyDescent="0.3">
      <c r="A197" s="11" t="s">
        <v>166</v>
      </c>
      <c r="B197" s="11" t="s">
        <v>34</v>
      </c>
      <c r="C197" s="11" t="s">
        <v>34</v>
      </c>
      <c r="D197">
        <v>27</v>
      </c>
      <c r="E197" s="11" t="s">
        <v>158</v>
      </c>
      <c r="F197" s="11" t="s">
        <v>12</v>
      </c>
      <c r="G197">
        <v>34</v>
      </c>
      <c r="H197" s="11" t="s">
        <v>137</v>
      </c>
      <c r="I197" s="11" t="s">
        <v>143</v>
      </c>
      <c r="J197" s="11" t="s">
        <v>21</v>
      </c>
      <c r="K197">
        <v>0</v>
      </c>
      <c r="L197">
        <v>0</v>
      </c>
    </row>
    <row r="198" spans="1:12" x14ac:dyDescent="0.3">
      <c r="A198" s="11" t="s">
        <v>8</v>
      </c>
      <c r="B198" s="11" t="s">
        <v>14</v>
      </c>
      <c r="C198" s="11" t="s">
        <v>88</v>
      </c>
      <c r="D198">
        <v>608</v>
      </c>
      <c r="E198" s="11" t="s">
        <v>11</v>
      </c>
      <c r="F198" s="11" t="s">
        <v>12</v>
      </c>
      <c r="G198">
        <v>31</v>
      </c>
      <c r="H198" s="11" t="s">
        <v>134</v>
      </c>
      <c r="I198" s="11" t="s">
        <v>143</v>
      </c>
      <c r="J198" s="11" t="s">
        <v>21</v>
      </c>
      <c r="K198">
        <v>0</v>
      </c>
      <c r="L198">
        <v>0</v>
      </c>
    </row>
    <row r="199" spans="1:12" x14ac:dyDescent="0.3">
      <c r="A199" s="11" t="s">
        <v>8</v>
      </c>
      <c r="B199" s="11" t="s">
        <v>64</v>
      </c>
      <c r="C199" s="11" t="s">
        <v>101</v>
      </c>
      <c r="D199">
        <v>32</v>
      </c>
      <c r="E199" s="11" t="s">
        <v>25</v>
      </c>
      <c r="F199" s="11" t="s">
        <v>12</v>
      </c>
      <c r="G199">
        <v>22</v>
      </c>
      <c r="H199" s="11" t="s">
        <v>133</v>
      </c>
      <c r="I199" s="11" t="s">
        <v>143</v>
      </c>
      <c r="J199" s="11" t="s">
        <v>17</v>
      </c>
      <c r="K199">
        <v>0</v>
      </c>
      <c r="L199">
        <v>0</v>
      </c>
    </row>
    <row r="200" spans="1:12" x14ac:dyDescent="0.3">
      <c r="A200" s="11" t="s">
        <v>8</v>
      </c>
      <c r="B200" s="11" t="s">
        <v>14</v>
      </c>
      <c r="C200" s="11" t="s">
        <v>14</v>
      </c>
      <c r="D200">
        <v>21</v>
      </c>
      <c r="E200" s="11" t="s">
        <v>11</v>
      </c>
      <c r="F200" s="11" t="s">
        <v>12</v>
      </c>
      <c r="G200">
        <v>27</v>
      </c>
      <c r="H200" s="11" t="s">
        <v>133</v>
      </c>
      <c r="I200" s="11" t="s">
        <v>143</v>
      </c>
      <c r="J200" s="11" t="s">
        <v>13</v>
      </c>
      <c r="K200">
        <v>0</v>
      </c>
      <c r="L200">
        <v>0</v>
      </c>
    </row>
    <row r="201" spans="1:12" x14ac:dyDescent="0.3">
      <c r="A201" s="11" t="s">
        <v>8</v>
      </c>
      <c r="B201" s="11" t="s">
        <v>29</v>
      </c>
      <c r="C201" s="11" t="s">
        <v>57</v>
      </c>
      <c r="D201">
        <v>35</v>
      </c>
      <c r="E201" s="11" t="s">
        <v>11</v>
      </c>
      <c r="F201" s="11" t="s">
        <v>12</v>
      </c>
      <c r="G201">
        <v>29</v>
      </c>
      <c r="H201" s="11" t="s">
        <v>132</v>
      </c>
      <c r="I201" s="11" t="s">
        <v>144</v>
      </c>
      <c r="J201" s="11" t="s">
        <v>13</v>
      </c>
      <c r="K201">
        <v>1</v>
      </c>
      <c r="L201">
        <v>0</v>
      </c>
    </row>
    <row r="202" spans="1:12" x14ac:dyDescent="0.3">
      <c r="A202" s="11" t="s">
        <v>38</v>
      </c>
      <c r="B202" s="11" t="s">
        <v>34</v>
      </c>
      <c r="C202" s="11" t="s">
        <v>78</v>
      </c>
      <c r="D202" t="s">
        <v>24</v>
      </c>
      <c r="E202" s="11" t="s">
        <v>39</v>
      </c>
      <c r="F202" s="11" t="s">
        <v>12</v>
      </c>
      <c r="G202">
        <v>29</v>
      </c>
      <c r="H202" s="11" t="s">
        <v>138</v>
      </c>
      <c r="I202" s="11" t="s">
        <v>144</v>
      </c>
      <c r="J202" s="11" t="s">
        <v>13</v>
      </c>
      <c r="K202">
        <v>0</v>
      </c>
      <c r="L202">
        <v>0</v>
      </c>
    </row>
    <row r="203" spans="1:12" x14ac:dyDescent="0.3">
      <c r="A203" s="11" t="s">
        <v>8</v>
      </c>
      <c r="B203" s="11" t="s">
        <v>64</v>
      </c>
      <c r="C203" s="11" t="s">
        <v>101</v>
      </c>
      <c r="D203">
        <v>32</v>
      </c>
      <c r="E203" s="11" t="s">
        <v>16</v>
      </c>
      <c r="F203" s="11" t="s">
        <v>35</v>
      </c>
      <c r="G203">
        <v>15</v>
      </c>
      <c r="H203" s="11" t="s">
        <v>138</v>
      </c>
      <c r="I203" s="11" t="s">
        <v>144</v>
      </c>
      <c r="J203" s="11" t="s">
        <v>31</v>
      </c>
      <c r="K203">
        <v>0</v>
      </c>
      <c r="L203">
        <v>0</v>
      </c>
    </row>
    <row r="204" spans="1:12" x14ac:dyDescent="0.3">
      <c r="A204" s="11" t="s">
        <v>22</v>
      </c>
      <c r="B204" s="11" t="s">
        <v>34</v>
      </c>
      <c r="C204" s="11" t="s">
        <v>34</v>
      </c>
      <c r="D204">
        <v>39</v>
      </c>
      <c r="E204" s="11" t="s">
        <v>25</v>
      </c>
      <c r="F204" s="11" t="s">
        <v>12</v>
      </c>
      <c r="G204">
        <v>39</v>
      </c>
      <c r="H204" s="11" t="s">
        <v>138</v>
      </c>
      <c r="I204" s="11" t="s">
        <v>144</v>
      </c>
      <c r="J204" s="11" t="s">
        <v>32</v>
      </c>
      <c r="K204">
        <v>0</v>
      </c>
      <c r="L204">
        <v>0</v>
      </c>
    </row>
    <row r="205" spans="1:12" x14ac:dyDescent="0.3">
      <c r="A205" s="11" t="s">
        <v>22</v>
      </c>
      <c r="B205" s="11" t="s">
        <v>14</v>
      </c>
      <c r="C205" s="11" t="s">
        <v>18</v>
      </c>
      <c r="D205" t="s">
        <v>24</v>
      </c>
      <c r="E205" s="11" t="s">
        <v>11</v>
      </c>
      <c r="F205" s="11" t="s">
        <v>12</v>
      </c>
      <c r="G205">
        <v>29</v>
      </c>
      <c r="H205" s="11" t="s">
        <v>137</v>
      </c>
      <c r="I205" s="11" t="s">
        <v>144</v>
      </c>
      <c r="J205" s="11" t="s">
        <v>13</v>
      </c>
      <c r="K205">
        <v>0</v>
      </c>
      <c r="L205">
        <v>0</v>
      </c>
    </row>
    <row r="206" spans="1:12" x14ac:dyDescent="0.3">
      <c r="A206" s="11" t="s">
        <v>166</v>
      </c>
      <c r="B206" s="11" t="s">
        <v>29</v>
      </c>
      <c r="C206" s="11" t="s">
        <v>48</v>
      </c>
      <c r="D206">
        <v>250</v>
      </c>
      <c r="E206" s="11" t="s">
        <v>158</v>
      </c>
      <c r="F206" s="11" t="s">
        <v>102</v>
      </c>
      <c r="G206">
        <v>26</v>
      </c>
      <c r="H206" s="11" t="s">
        <v>137</v>
      </c>
      <c r="I206" s="11" t="s">
        <v>144</v>
      </c>
      <c r="J206" s="11" t="s">
        <v>13</v>
      </c>
      <c r="K206">
        <v>0</v>
      </c>
      <c r="L206">
        <v>0</v>
      </c>
    </row>
    <row r="207" spans="1:12" x14ac:dyDescent="0.3">
      <c r="A207" s="11" t="s">
        <v>38</v>
      </c>
      <c r="B207" s="11" t="s">
        <v>14</v>
      </c>
      <c r="C207" s="11" t="s">
        <v>14</v>
      </c>
      <c r="D207">
        <v>17</v>
      </c>
      <c r="E207" s="11" t="s">
        <v>39</v>
      </c>
      <c r="F207" s="11" t="s">
        <v>12</v>
      </c>
      <c r="G207">
        <v>55</v>
      </c>
      <c r="H207" s="11" t="s">
        <v>134</v>
      </c>
      <c r="I207" s="11" t="s">
        <v>144</v>
      </c>
      <c r="J207" s="11" t="s">
        <v>36</v>
      </c>
      <c r="K207">
        <v>0</v>
      </c>
      <c r="L207">
        <v>0</v>
      </c>
    </row>
    <row r="208" spans="1:12" x14ac:dyDescent="0.3">
      <c r="A208" s="11" t="s">
        <v>46</v>
      </c>
      <c r="B208" s="11" t="s">
        <v>9</v>
      </c>
      <c r="C208" s="11" t="s">
        <v>96</v>
      </c>
      <c r="D208" t="s">
        <v>24</v>
      </c>
      <c r="E208" s="11" t="s">
        <v>16</v>
      </c>
      <c r="F208" s="11" t="s">
        <v>12</v>
      </c>
      <c r="G208" t="s">
        <v>68</v>
      </c>
      <c r="H208" s="11" t="s">
        <v>132</v>
      </c>
      <c r="I208" s="11" t="s">
        <v>144</v>
      </c>
      <c r="J208" s="11" t="s">
        <v>68</v>
      </c>
      <c r="K208">
        <v>0</v>
      </c>
      <c r="L208">
        <v>0</v>
      </c>
    </row>
    <row r="209" spans="1:12" x14ac:dyDescent="0.3">
      <c r="A209" s="11" t="s">
        <v>8</v>
      </c>
      <c r="B209" s="11" t="s">
        <v>64</v>
      </c>
      <c r="C209" s="11" t="s">
        <v>73</v>
      </c>
      <c r="D209">
        <v>36</v>
      </c>
      <c r="E209" s="11" t="s">
        <v>11</v>
      </c>
      <c r="F209" s="11" t="s">
        <v>12</v>
      </c>
      <c r="G209">
        <v>33</v>
      </c>
      <c r="H209" s="11" t="s">
        <v>132</v>
      </c>
      <c r="I209" s="11" t="s">
        <v>144</v>
      </c>
      <c r="J209" s="11" t="s">
        <v>21</v>
      </c>
      <c r="K209">
        <v>1</v>
      </c>
      <c r="L209">
        <v>0</v>
      </c>
    </row>
    <row r="210" spans="1:12" x14ac:dyDescent="0.3">
      <c r="A210" s="11" t="s">
        <v>22</v>
      </c>
      <c r="B210" s="11" t="s">
        <v>29</v>
      </c>
      <c r="C210" s="11" t="s">
        <v>107</v>
      </c>
      <c r="D210" t="s">
        <v>24</v>
      </c>
      <c r="E210" s="11" t="s">
        <v>11</v>
      </c>
      <c r="F210" s="11" t="s">
        <v>12</v>
      </c>
      <c r="G210">
        <v>20</v>
      </c>
      <c r="H210" s="11" t="s">
        <v>138</v>
      </c>
      <c r="I210" s="11" t="s">
        <v>144</v>
      </c>
      <c r="J210" s="11" t="s">
        <v>17</v>
      </c>
      <c r="K210">
        <v>1</v>
      </c>
      <c r="L210">
        <v>0</v>
      </c>
    </row>
    <row r="211" spans="1:12" x14ac:dyDescent="0.3">
      <c r="A211" s="11" t="s">
        <v>38</v>
      </c>
      <c r="B211" s="11" t="s">
        <v>34</v>
      </c>
      <c r="C211" s="11" t="s">
        <v>34</v>
      </c>
      <c r="D211">
        <v>39</v>
      </c>
      <c r="E211" s="11" t="s">
        <v>39</v>
      </c>
      <c r="F211" s="11" t="s">
        <v>12</v>
      </c>
      <c r="G211">
        <v>53</v>
      </c>
      <c r="H211" s="11" t="s">
        <v>138</v>
      </c>
      <c r="I211" s="11" t="s">
        <v>144</v>
      </c>
      <c r="J211" s="11" t="s">
        <v>60</v>
      </c>
      <c r="K211">
        <v>0</v>
      </c>
      <c r="L211">
        <v>0</v>
      </c>
    </row>
    <row r="212" spans="1:12" x14ac:dyDescent="0.3">
      <c r="A212" s="11" t="s">
        <v>22</v>
      </c>
      <c r="B212" s="11" t="s">
        <v>14</v>
      </c>
      <c r="C212" s="11" t="s">
        <v>18</v>
      </c>
      <c r="D212">
        <v>2</v>
      </c>
      <c r="E212" s="11" t="s">
        <v>16</v>
      </c>
      <c r="F212" s="11" t="s">
        <v>35</v>
      </c>
      <c r="G212">
        <v>38</v>
      </c>
      <c r="H212" s="11" t="s">
        <v>138</v>
      </c>
      <c r="I212" s="11" t="s">
        <v>144</v>
      </c>
      <c r="J212" s="11" t="s">
        <v>32</v>
      </c>
      <c r="K212">
        <v>0</v>
      </c>
      <c r="L212">
        <v>0</v>
      </c>
    </row>
    <row r="213" spans="1:12" x14ac:dyDescent="0.3">
      <c r="A213" s="11" t="s">
        <v>22</v>
      </c>
      <c r="B213" s="11" t="s">
        <v>50</v>
      </c>
      <c r="C213" s="11" t="s">
        <v>108</v>
      </c>
      <c r="D213" t="s">
        <v>24</v>
      </c>
      <c r="E213" s="11" t="s">
        <v>11</v>
      </c>
      <c r="F213" s="11" t="s">
        <v>35</v>
      </c>
      <c r="G213">
        <v>46</v>
      </c>
      <c r="H213" s="11" t="s">
        <v>138</v>
      </c>
      <c r="I213" s="11" t="s">
        <v>144</v>
      </c>
      <c r="J213" s="11" t="s">
        <v>19</v>
      </c>
      <c r="K213">
        <v>1</v>
      </c>
      <c r="L213">
        <v>0</v>
      </c>
    </row>
    <row r="214" spans="1:12" x14ac:dyDescent="0.3">
      <c r="A214" s="11" t="s">
        <v>8</v>
      </c>
      <c r="B214" s="11" t="s">
        <v>14</v>
      </c>
      <c r="C214" s="11" t="s">
        <v>88</v>
      </c>
      <c r="D214" t="s">
        <v>24</v>
      </c>
      <c r="E214" s="11" t="s">
        <v>16</v>
      </c>
      <c r="F214" s="11" t="s">
        <v>12</v>
      </c>
      <c r="G214">
        <v>35</v>
      </c>
      <c r="H214" s="11" t="s">
        <v>136</v>
      </c>
      <c r="I214" s="11" t="s">
        <v>144</v>
      </c>
      <c r="J214" s="11" t="s">
        <v>32</v>
      </c>
      <c r="K214">
        <v>0</v>
      </c>
      <c r="L214">
        <v>0</v>
      </c>
    </row>
    <row r="215" spans="1:12" x14ac:dyDescent="0.3">
      <c r="A215" s="11" t="s">
        <v>8</v>
      </c>
      <c r="B215" s="11" t="s">
        <v>29</v>
      </c>
      <c r="C215" s="11" t="s">
        <v>74</v>
      </c>
      <c r="D215">
        <v>4</v>
      </c>
      <c r="E215" s="11" t="s">
        <v>11</v>
      </c>
      <c r="F215" s="11" t="s">
        <v>12</v>
      </c>
      <c r="G215">
        <v>44</v>
      </c>
      <c r="H215" s="11" t="s">
        <v>135</v>
      </c>
      <c r="I215" s="11" t="s">
        <v>144</v>
      </c>
      <c r="J215" s="11" t="s">
        <v>28</v>
      </c>
      <c r="K215">
        <v>0</v>
      </c>
      <c r="L215">
        <v>0</v>
      </c>
    </row>
    <row r="216" spans="1:12" x14ac:dyDescent="0.3">
      <c r="A216" s="11" t="s">
        <v>166</v>
      </c>
      <c r="B216" s="11" t="s">
        <v>34</v>
      </c>
      <c r="C216" s="11" t="s">
        <v>109</v>
      </c>
      <c r="D216">
        <v>39</v>
      </c>
      <c r="E216" s="11" t="s">
        <v>158</v>
      </c>
      <c r="F216" s="11" t="s">
        <v>12</v>
      </c>
      <c r="G216">
        <v>23</v>
      </c>
      <c r="H216" s="11" t="s">
        <v>135</v>
      </c>
      <c r="I216" s="11" t="s">
        <v>144</v>
      </c>
      <c r="J216" s="11" t="s">
        <v>17</v>
      </c>
      <c r="K216">
        <v>0</v>
      </c>
      <c r="L216">
        <v>0</v>
      </c>
    </row>
    <row r="217" spans="1:12" x14ac:dyDescent="0.3">
      <c r="A217" s="11" t="s">
        <v>8</v>
      </c>
      <c r="B217" s="11" t="s">
        <v>29</v>
      </c>
      <c r="C217" s="11" t="s">
        <v>48</v>
      </c>
      <c r="D217">
        <v>142</v>
      </c>
      <c r="E217" s="11" t="s">
        <v>11</v>
      </c>
      <c r="F217" s="11" t="s">
        <v>12</v>
      </c>
      <c r="G217">
        <v>27</v>
      </c>
      <c r="H217" s="11" t="s">
        <v>133</v>
      </c>
      <c r="I217" s="11" t="s">
        <v>144</v>
      </c>
      <c r="J217" s="11" t="s">
        <v>13</v>
      </c>
      <c r="K217">
        <v>0</v>
      </c>
      <c r="L217">
        <v>0</v>
      </c>
    </row>
    <row r="218" spans="1:12" x14ac:dyDescent="0.3">
      <c r="A218" s="11" t="s">
        <v>8</v>
      </c>
      <c r="B218" s="11" t="s">
        <v>50</v>
      </c>
      <c r="C218" s="11" t="s">
        <v>50</v>
      </c>
      <c r="D218">
        <v>10</v>
      </c>
      <c r="E218" s="11" t="s">
        <v>11</v>
      </c>
      <c r="F218" s="11" t="s">
        <v>12</v>
      </c>
      <c r="G218">
        <v>30</v>
      </c>
      <c r="H218" s="11" t="s">
        <v>132</v>
      </c>
      <c r="I218" s="11" t="s">
        <v>144</v>
      </c>
      <c r="J218" s="11" t="s">
        <v>21</v>
      </c>
      <c r="K218">
        <v>1</v>
      </c>
      <c r="L218">
        <v>0</v>
      </c>
    </row>
    <row r="219" spans="1:12" x14ac:dyDescent="0.3">
      <c r="A219" s="11" t="s">
        <v>166</v>
      </c>
      <c r="B219" s="11" t="s">
        <v>50</v>
      </c>
      <c r="C219" s="11" t="s">
        <v>110</v>
      </c>
      <c r="D219" t="s">
        <v>24</v>
      </c>
      <c r="E219" s="11" t="s">
        <v>158</v>
      </c>
      <c r="F219" s="11" t="s">
        <v>35</v>
      </c>
      <c r="G219">
        <v>81</v>
      </c>
      <c r="H219" s="11" t="s">
        <v>132</v>
      </c>
      <c r="I219" s="11" t="s">
        <v>144</v>
      </c>
      <c r="J219" s="11" t="s">
        <v>42</v>
      </c>
      <c r="K219">
        <v>0</v>
      </c>
      <c r="L219">
        <v>0</v>
      </c>
    </row>
    <row r="220" spans="1:12" x14ac:dyDescent="0.3">
      <c r="A220" s="11" t="s">
        <v>8</v>
      </c>
      <c r="B220" s="11" t="s">
        <v>9</v>
      </c>
      <c r="C220" s="11" t="s">
        <v>96</v>
      </c>
      <c r="D220">
        <v>933</v>
      </c>
      <c r="E220" s="11" t="s">
        <v>11</v>
      </c>
      <c r="F220" s="11" t="s">
        <v>12</v>
      </c>
      <c r="G220">
        <v>26</v>
      </c>
      <c r="H220" s="11" t="s">
        <v>132</v>
      </c>
      <c r="I220" s="11" t="s">
        <v>144</v>
      </c>
      <c r="J220" s="11" t="s">
        <v>13</v>
      </c>
      <c r="K220">
        <v>1</v>
      </c>
      <c r="L220">
        <v>0</v>
      </c>
    </row>
    <row r="221" spans="1:12" x14ac:dyDescent="0.3">
      <c r="A221" s="11" t="s">
        <v>8</v>
      </c>
      <c r="B221" s="11" t="s">
        <v>29</v>
      </c>
      <c r="C221" s="11" t="s">
        <v>48</v>
      </c>
      <c r="D221">
        <v>250</v>
      </c>
      <c r="E221" s="11" t="s">
        <v>11</v>
      </c>
      <c r="F221" s="11" t="s">
        <v>35</v>
      </c>
      <c r="G221">
        <v>17</v>
      </c>
      <c r="H221" s="11" t="s">
        <v>132</v>
      </c>
      <c r="I221" s="11" t="s">
        <v>144</v>
      </c>
      <c r="J221" s="11" t="s">
        <v>31</v>
      </c>
      <c r="K221">
        <v>1</v>
      </c>
      <c r="L221">
        <v>1</v>
      </c>
    </row>
    <row r="222" spans="1:12" x14ac:dyDescent="0.3">
      <c r="A222" s="11" t="s">
        <v>8</v>
      </c>
      <c r="B222" s="11" t="s">
        <v>34</v>
      </c>
      <c r="C222" s="11" t="s">
        <v>111</v>
      </c>
      <c r="D222">
        <v>32</v>
      </c>
      <c r="E222" s="11" t="s">
        <v>25</v>
      </c>
      <c r="F222" s="11" t="s">
        <v>12</v>
      </c>
      <c r="G222">
        <v>46</v>
      </c>
      <c r="H222" s="11" t="s">
        <v>132</v>
      </c>
      <c r="I222" s="11" t="s">
        <v>144</v>
      </c>
      <c r="J222" s="11" t="s">
        <v>19</v>
      </c>
      <c r="K222">
        <v>0</v>
      </c>
      <c r="L222">
        <v>0</v>
      </c>
    </row>
    <row r="223" spans="1:12" x14ac:dyDescent="0.3">
      <c r="A223" s="11" t="s">
        <v>8</v>
      </c>
      <c r="B223" s="11" t="s">
        <v>64</v>
      </c>
      <c r="C223" s="11" t="s">
        <v>65</v>
      </c>
      <c r="D223" t="s">
        <v>24</v>
      </c>
      <c r="E223" s="11" t="s">
        <v>11</v>
      </c>
      <c r="F223" s="11" t="s">
        <v>12</v>
      </c>
      <c r="G223">
        <v>44</v>
      </c>
      <c r="H223" s="11" t="s">
        <v>132</v>
      </c>
      <c r="I223" s="11" t="s">
        <v>144</v>
      </c>
      <c r="J223" s="11" t="s">
        <v>28</v>
      </c>
      <c r="K223">
        <v>1</v>
      </c>
      <c r="L223">
        <v>0</v>
      </c>
    </row>
    <row r="224" spans="1:12" x14ac:dyDescent="0.3">
      <c r="A224" s="11" t="s">
        <v>38</v>
      </c>
      <c r="B224" s="11" t="s">
        <v>64</v>
      </c>
      <c r="C224" s="11" t="s">
        <v>101</v>
      </c>
      <c r="D224">
        <v>806</v>
      </c>
      <c r="E224" s="11" t="s">
        <v>39</v>
      </c>
      <c r="F224" s="11" t="s">
        <v>12</v>
      </c>
      <c r="G224">
        <v>62</v>
      </c>
      <c r="H224" s="11" t="s">
        <v>138</v>
      </c>
      <c r="I224" s="11" t="s">
        <v>144</v>
      </c>
      <c r="J224" s="11" t="s">
        <v>49</v>
      </c>
      <c r="K224">
        <v>0</v>
      </c>
      <c r="L224">
        <v>0</v>
      </c>
    </row>
    <row r="225" spans="1:12" x14ac:dyDescent="0.3">
      <c r="A225" s="11" t="s">
        <v>8</v>
      </c>
      <c r="B225" s="11" t="s">
        <v>14</v>
      </c>
      <c r="C225" s="11" t="s">
        <v>18</v>
      </c>
      <c r="D225">
        <v>34</v>
      </c>
      <c r="E225" s="11" t="s">
        <v>25</v>
      </c>
      <c r="F225" s="11" t="s">
        <v>12</v>
      </c>
      <c r="G225">
        <v>30</v>
      </c>
      <c r="H225" s="11" t="s">
        <v>136</v>
      </c>
      <c r="I225" s="11" t="s">
        <v>144</v>
      </c>
      <c r="J225" s="11" t="s">
        <v>21</v>
      </c>
      <c r="K225">
        <v>0</v>
      </c>
      <c r="L225">
        <v>0</v>
      </c>
    </row>
    <row r="226" spans="1:12" x14ac:dyDescent="0.3">
      <c r="A226" s="11" t="s">
        <v>166</v>
      </c>
      <c r="B226" s="11" t="s">
        <v>50</v>
      </c>
      <c r="C226" s="11" t="s">
        <v>58</v>
      </c>
      <c r="D226">
        <v>2</v>
      </c>
      <c r="E226" s="11" t="s">
        <v>158</v>
      </c>
      <c r="F226" s="11" t="s">
        <v>12</v>
      </c>
      <c r="G226">
        <v>30</v>
      </c>
      <c r="H226" s="11" t="s">
        <v>136</v>
      </c>
      <c r="I226" s="11" t="s">
        <v>144</v>
      </c>
      <c r="J226" s="11" t="s">
        <v>21</v>
      </c>
      <c r="K226">
        <v>0</v>
      </c>
      <c r="L226">
        <v>0</v>
      </c>
    </row>
    <row r="227" spans="1:12" x14ac:dyDescent="0.3">
      <c r="A227" s="11" t="s">
        <v>166</v>
      </c>
      <c r="B227" s="11" t="s">
        <v>14</v>
      </c>
      <c r="C227" s="11" t="s">
        <v>14</v>
      </c>
      <c r="D227" t="s">
        <v>24</v>
      </c>
      <c r="E227" s="11" t="s">
        <v>158</v>
      </c>
      <c r="F227" s="11" t="s">
        <v>12</v>
      </c>
      <c r="G227" t="s">
        <v>68</v>
      </c>
      <c r="H227" s="11" t="s">
        <v>134</v>
      </c>
      <c r="I227" s="11" t="s">
        <v>144</v>
      </c>
      <c r="J227" s="11" t="s">
        <v>68</v>
      </c>
      <c r="K227">
        <v>0</v>
      </c>
      <c r="L227">
        <v>0</v>
      </c>
    </row>
    <row r="228" spans="1:12" x14ac:dyDescent="0.3">
      <c r="A228" s="11" t="s">
        <v>38</v>
      </c>
      <c r="B228" s="11" t="s">
        <v>64</v>
      </c>
      <c r="C228" s="11" t="s">
        <v>73</v>
      </c>
      <c r="D228">
        <v>36</v>
      </c>
      <c r="E228" s="11" t="s">
        <v>39</v>
      </c>
      <c r="F228" s="11" t="s">
        <v>12</v>
      </c>
      <c r="G228" t="s">
        <v>68</v>
      </c>
      <c r="H228" s="11" t="s">
        <v>134</v>
      </c>
      <c r="I228" s="11" t="s">
        <v>144</v>
      </c>
      <c r="J228" s="11" t="s">
        <v>68</v>
      </c>
      <c r="K228">
        <v>0</v>
      </c>
      <c r="L228">
        <v>0</v>
      </c>
    </row>
    <row r="229" spans="1:12" x14ac:dyDescent="0.3">
      <c r="A229" s="11" t="s">
        <v>22</v>
      </c>
      <c r="B229" s="11" t="s">
        <v>34</v>
      </c>
      <c r="C229" s="11" t="s">
        <v>84</v>
      </c>
      <c r="D229">
        <v>2</v>
      </c>
      <c r="E229" s="11" t="s">
        <v>16</v>
      </c>
      <c r="F229" s="11" t="s">
        <v>12</v>
      </c>
      <c r="G229">
        <v>19</v>
      </c>
      <c r="H229" s="11" t="s">
        <v>132</v>
      </c>
      <c r="I229" s="11" t="s">
        <v>144</v>
      </c>
      <c r="J229" s="11" t="s">
        <v>31</v>
      </c>
      <c r="K229">
        <v>0</v>
      </c>
      <c r="L229">
        <v>0</v>
      </c>
    </row>
    <row r="230" spans="1:12" x14ac:dyDescent="0.3">
      <c r="A230" s="11" t="s">
        <v>38</v>
      </c>
      <c r="B230" s="11" t="s">
        <v>64</v>
      </c>
      <c r="C230" s="11" t="s">
        <v>101</v>
      </c>
      <c r="D230">
        <v>32</v>
      </c>
      <c r="E230" s="11" t="s">
        <v>39</v>
      </c>
      <c r="F230" s="11" t="s">
        <v>12</v>
      </c>
      <c r="G230">
        <v>54</v>
      </c>
      <c r="H230" s="11" t="s">
        <v>132</v>
      </c>
      <c r="I230" s="11" t="s">
        <v>144</v>
      </c>
      <c r="J230" s="11" t="s">
        <v>60</v>
      </c>
      <c r="K230">
        <v>0</v>
      </c>
      <c r="L230">
        <v>0</v>
      </c>
    </row>
    <row r="231" spans="1:12" x14ac:dyDescent="0.3">
      <c r="A231" s="11" t="s">
        <v>38</v>
      </c>
      <c r="B231" s="11" t="s">
        <v>14</v>
      </c>
      <c r="C231" s="11" t="s">
        <v>61</v>
      </c>
      <c r="D231">
        <v>34</v>
      </c>
      <c r="E231" s="11" t="s">
        <v>39</v>
      </c>
      <c r="F231" s="11" t="s">
        <v>12</v>
      </c>
      <c r="G231">
        <v>67</v>
      </c>
      <c r="H231" s="11" t="s">
        <v>132</v>
      </c>
      <c r="I231" s="11" t="s">
        <v>144</v>
      </c>
      <c r="J231" s="11" t="s">
        <v>27</v>
      </c>
      <c r="K231">
        <v>0</v>
      </c>
      <c r="L231">
        <v>0</v>
      </c>
    </row>
    <row r="232" spans="1:12" x14ac:dyDescent="0.3">
      <c r="A232" s="11" t="s">
        <v>166</v>
      </c>
      <c r="B232" s="11" t="s">
        <v>34</v>
      </c>
      <c r="C232" s="11" t="s">
        <v>34</v>
      </c>
      <c r="D232" t="s">
        <v>24</v>
      </c>
      <c r="E232" s="11" t="s">
        <v>158</v>
      </c>
      <c r="F232" s="11" t="s">
        <v>12</v>
      </c>
      <c r="G232">
        <v>29</v>
      </c>
      <c r="H232" s="11" t="s">
        <v>138</v>
      </c>
      <c r="I232" s="11" t="s">
        <v>144</v>
      </c>
      <c r="J232" s="11" t="s">
        <v>13</v>
      </c>
      <c r="K232">
        <v>0</v>
      </c>
      <c r="L232">
        <v>0</v>
      </c>
    </row>
    <row r="233" spans="1:12" x14ac:dyDescent="0.3">
      <c r="A233" s="11" t="s">
        <v>38</v>
      </c>
      <c r="B233" s="11" t="s">
        <v>29</v>
      </c>
      <c r="C233" s="11" t="s">
        <v>29</v>
      </c>
      <c r="D233" t="s">
        <v>24</v>
      </c>
      <c r="E233" s="11" t="s">
        <v>39</v>
      </c>
      <c r="F233" s="11" t="s">
        <v>12</v>
      </c>
      <c r="G233">
        <v>42</v>
      </c>
      <c r="H233" s="11" t="s">
        <v>137</v>
      </c>
      <c r="I233" s="11" t="s">
        <v>145</v>
      </c>
      <c r="J233" s="11" t="s">
        <v>28</v>
      </c>
      <c r="K233">
        <v>0</v>
      </c>
      <c r="L233">
        <v>0</v>
      </c>
    </row>
    <row r="234" spans="1:12" x14ac:dyDescent="0.3">
      <c r="A234" s="11" t="s">
        <v>22</v>
      </c>
      <c r="B234" s="11" t="s">
        <v>14</v>
      </c>
      <c r="C234" s="11" t="s">
        <v>67</v>
      </c>
      <c r="D234" t="s">
        <v>24</v>
      </c>
      <c r="E234" s="11" t="s">
        <v>62</v>
      </c>
      <c r="F234" s="11" t="s">
        <v>35</v>
      </c>
      <c r="G234">
        <v>19</v>
      </c>
      <c r="H234" s="11" t="s">
        <v>136</v>
      </c>
      <c r="I234" s="11" t="s">
        <v>145</v>
      </c>
      <c r="J234" s="11" t="s">
        <v>31</v>
      </c>
      <c r="K234">
        <v>0</v>
      </c>
      <c r="L234">
        <v>0</v>
      </c>
    </row>
    <row r="235" spans="1:12" x14ac:dyDescent="0.3">
      <c r="A235" s="11" t="s">
        <v>22</v>
      </c>
      <c r="B235" s="11" t="s">
        <v>29</v>
      </c>
      <c r="C235" s="11" t="s">
        <v>29</v>
      </c>
      <c r="D235" t="s">
        <v>24</v>
      </c>
      <c r="E235" s="11" t="s">
        <v>11</v>
      </c>
      <c r="F235" s="11" t="s">
        <v>12</v>
      </c>
      <c r="G235">
        <v>24</v>
      </c>
      <c r="H235" s="11" t="s">
        <v>136</v>
      </c>
      <c r="I235" s="11" t="s">
        <v>145</v>
      </c>
      <c r="J235" s="11" t="s">
        <v>17</v>
      </c>
      <c r="K235">
        <v>0</v>
      </c>
      <c r="L235">
        <v>0</v>
      </c>
    </row>
    <row r="236" spans="1:12" x14ac:dyDescent="0.3">
      <c r="A236" s="11" t="s">
        <v>8</v>
      </c>
      <c r="B236" s="11" t="s">
        <v>29</v>
      </c>
      <c r="C236" s="11" t="s">
        <v>93</v>
      </c>
      <c r="D236">
        <v>1</v>
      </c>
      <c r="E236" s="11" t="s">
        <v>25</v>
      </c>
      <c r="F236" s="11" t="s">
        <v>12</v>
      </c>
      <c r="G236" t="s">
        <v>68</v>
      </c>
      <c r="H236" s="11" t="s">
        <v>134</v>
      </c>
      <c r="I236" s="11" t="s">
        <v>145</v>
      </c>
      <c r="J236" s="11" t="s">
        <v>68</v>
      </c>
      <c r="K236">
        <v>0</v>
      </c>
      <c r="L236">
        <v>0</v>
      </c>
    </row>
    <row r="237" spans="1:12" x14ac:dyDescent="0.3">
      <c r="A237" s="11" t="s">
        <v>8</v>
      </c>
      <c r="B237" s="11" t="s">
        <v>34</v>
      </c>
      <c r="C237" s="11" t="s">
        <v>111</v>
      </c>
      <c r="D237">
        <v>32</v>
      </c>
      <c r="E237" s="11" t="s">
        <v>25</v>
      </c>
      <c r="F237" s="11" t="s">
        <v>12</v>
      </c>
      <c r="G237">
        <v>37</v>
      </c>
      <c r="H237" s="11" t="s">
        <v>134</v>
      </c>
      <c r="I237" s="11" t="s">
        <v>145</v>
      </c>
      <c r="J237" s="11" t="s">
        <v>32</v>
      </c>
      <c r="K237">
        <v>0</v>
      </c>
      <c r="L237">
        <v>0</v>
      </c>
    </row>
    <row r="238" spans="1:12" x14ac:dyDescent="0.3">
      <c r="A238" s="11" t="s">
        <v>8</v>
      </c>
      <c r="B238" s="11" t="s">
        <v>40</v>
      </c>
      <c r="C238" s="11" t="s">
        <v>86</v>
      </c>
      <c r="D238" t="s">
        <v>24</v>
      </c>
      <c r="E238" s="11" t="s">
        <v>11</v>
      </c>
      <c r="F238" s="11" t="s">
        <v>35</v>
      </c>
      <c r="G238">
        <v>26</v>
      </c>
      <c r="H238" s="11" t="s">
        <v>133</v>
      </c>
      <c r="I238" s="11" t="s">
        <v>145</v>
      </c>
      <c r="J238" s="11" t="s">
        <v>13</v>
      </c>
      <c r="K238">
        <v>0</v>
      </c>
      <c r="L238">
        <v>0</v>
      </c>
    </row>
    <row r="239" spans="1:12" x14ac:dyDescent="0.3">
      <c r="A239" s="11" t="s">
        <v>8</v>
      </c>
      <c r="B239" s="11" t="s">
        <v>14</v>
      </c>
      <c r="C239" s="11" t="s">
        <v>67</v>
      </c>
      <c r="D239" t="s">
        <v>24</v>
      </c>
      <c r="E239" s="11" t="s">
        <v>11</v>
      </c>
      <c r="F239" s="11" t="s">
        <v>12</v>
      </c>
      <c r="G239">
        <v>28</v>
      </c>
      <c r="H239" s="11" t="s">
        <v>132</v>
      </c>
      <c r="I239" s="11" t="s">
        <v>145</v>
      </c>
      <c r="J239" s="11" t="s">
        <v>13</v>
      </c>
      <c r="K239">
        <v>1</v>
      </c>
      <c r="L239">
        <v>0</v>
      </c>
    </row>
    <row r="240" spans="1:12" x14ac:dyDescent="0.3">
      <c r="A240" s="11" t="s">
        <v>166</v>
      </c>
      <c r="B240" s="11" t="s">
        <v>34</v>
      </c>
      <c r="C240" s="11" t="s">
        <v>34</v>
      </c>
      <c r="D240" t="s">
        <v>24</v>
      </c>
      <c r="E240" s="11" t="s">
        <v>158</v>
      </c>
      <c r="F240" s="11" t="s">
        <v>102</v>
      </c>
      <c r="G240" t="s">
        <v>68</v>
      </c>
      <c r="H240" s="11" t="s">
        <v>136</v>
      </c>
      <c r="I240" s="11" t="s">
        <v>145</v>
      </c>
      <c r="J240" s="11" t="s">
        <v>68</v>
      </c>
      <c r="K240">
        <v>0</v>
      </c>
      <c r="L240">
        <v>0</v>
      </c>
    </row>
    <row r="241" spans="1:12" x14ac:dyDescent="0.3">
      <c r="A241" s="11" t="s">
        <v>8</v>
      </c>
      <c r="B241" s="11" t="s">
        <v>9</v>
      </c>
      <c r="C241" s="11" t="s">
        <v>20</v>
      </c>
      <c r="D241">
        <v>21</v>
      </c>
      <c r="E241" s="11" t="s">
        <v>11</v>
      </c>
      <c r="F241" s="11" t="s">
        <v>12</v>
      </c>
      <c r="G241">
        <v>27</v>
      </c>
      <c r="H241" s="11" t="s">
        <v>137</v>
      </c>
      <c r="I241" s="11" t="s">
        <v>145</v>
      </c>
      <c r="J241" s="11" t="s">
        <v>13</v>
      </c>
      <c r="K241">
        <v>0</v>
      </c>
      <c r="L241">
        <v>0</v>
      </c>
    </row>
    <row r="242" spans="1:12" x14ac:dyDescent="0.3">
      <c r="A242" s="11" t="s">
        <v>22</v>
      </c>
      <c r="B242" s="11" t="s">
        <v>34</v>
      </c>
      <c r="C242" s="11" t="s">
        <v>80</v>
      </c>
      <c r="D242">
        <v>105</v>
      </c>
      <c r="E242" s="11" t="s">
        <v>11</v>
      </c>
      <c r="F242" s="11" t="s">
        <v>12</v>
      </c>
      <c r="G242">
        <v>26</v>
      </c>
      <c r="H242" s="11" t="s">
        <v>136</v>
      </c>
      <c r="I242" s="11" t="s">
        <v>145</v>
      </c>
      <c r="J242" s="11" t="s">
        <v>13</v>
      </c>
      <c r="K242">
        <v>0</v>
      </c>
      <c r="L242">
        <v>0</v>
      </c>
    </row>
    <row r="243" spans="1:12" x14ac:dyDescent="0.3">
      <c r="A243" s="11" t="s">
        <v>22</v>
      </c>
      <c r="B243" s="11" t="s">
        <v>9</v>
      </c>
      <c r="C243" s="11" t="s">
        <v>20</v>
      </c>
      <c r="D243">
        <v>1</v>
      </c>
      <c r="E243" s="11" t="s">
        <v>25</v>
      </c>
      <c r="F243" s="11" t="s">
        <v>12</v>
      </c>
      <c r="G243">
        <v>69</v>
      </c>
      <c r="H243" s="11" t="s">
        <v>135</v>
      </c>
      <c r="I243" s="11" t="s">
        <v>145</v>
      </c>
      <c r="J243" s="11" t="s">
        <v>27</v>
      </c>
      <c r="K243">
        <v>0</v>
      </c>
      <c r="L243">
        <v>0</v>
      </c>
    </row>
    <row r="244" spans="1:12" x14ac:dyDescent="0.3">
      <c r="A244" s="11" t="s">
        <v>166</v>
      </c>
      <c r="B244" s="11" t="s">
        <v>50</v>
      </c>
      <c r="C244" s="11" t="s">
        <v>50</v>
      </c>
      <c r="D244" t="s">
        <v>24</v>
      </c>
      <c r="E244" s="11" t="s">
        <v>158</v>
      </c>
      <c r="F244" s="11" t="s">
        <v>12</v>
      </c>
      <c r="G244">
        <v>76</v>
      </c>
      <c r="H244" s="11" t="s">
        <v>134</v>
      </c>
      <c r="I244" s="11" t="s">
        <v>145</v>
      </c>
      <c r="J244" s="11" t="s">
        <v>42</v>
      </c>
      <c r="K244">
        <v>0</v>
      </c>
      <c r="L244">
        <v>0</v>
      </c>
    </row>
    <row r="245" spans="1:12" x14ac:dyDescent="0.3">
      <c r="A245" s="11" t="s">
        <v>8</v>
      </c>
      <c r="B245" s="11" t="s">
        <v>29</v>
      </c>
      <c r="C245" s="11" t="s">
        <v>112</v>
      </c>
      <c r="D245" t="s">
        <v>24</v>
      </c>
      <c r="E245" s="11" t="s">
        <v>62</v>
      </c>
      <c r="F245" s="11" t="s">
        <v>12</v>
      </c>
      <c r="G245">
        <v>44</v>
      </c>
      <c r="H245" s="11" t="s">
        <v>133</v>
      </c>
      <c r="I245" s="11" t="s">
        <v>145</v>
      </c>
      <c r="J245" s="11" t="s">
        <v>28</v>
      </c>
      <c r="K245">
        <v>0</v>
      </c>
      <c r="L245">
        <v>0</v>
      </c>
    </row>
    <row r="246" spans="1:12" x14ac:dyDescent="0.3">
      <c r="A246" s="11" t="s">
        <v>8</v>
      </c>
      <c r="B246" s="11" t="s">
        <v>29</v>
      </c>
      <c r="C246" s="11" t="s">
        <v>47</v>
      </c>
      <c r="D246">
        <v>27</v>
      </c>
      <c r="E246" s="11" t="s">
        <v>11</v>
      </c>
      <c r="F246" s="11" t="s">
        <v>12</v>
      </c>
      <c r="G246">
        <v>22</v>
      </c>
      <c r="H246" s="11" t="s">
        <v>132</v>
      </c>
      <c r="I246" s="11" t="s">
        <v>145</v>
      </c>
      <c r="J246" s="11" t="s">
        <v>17</v>
      </c>
      <c r="K246">
        <v>1</v>
      </c>
      <c r="L246">
        <v>0</v>
      </c>
    </row>
    <row r="247" spans="1:12" x14ac:dyDescent="0.3">
      <c r="A247" s="11" t="s">
        <v>22</v>
      </c>
      <c r="B247" s="11" t="s">
        <v>14</v>
      </c>
      <c r="C247" s="11" t="s">
        <v>18</v>
      </c>
      <c r="D247">
        <v>34</v>
      </c>
      <c r="E247" s="11" t="s">
        <v>25</v>
      </c>
      <c r="F247" s="11" t="s">
        <v>12</v>
      </c>
      <c r="G247">
        <v>50</v>
      </c>
      <c r="H247" s="11" t="s">
        <v>132</v>
      </c>
      <c r="I247" s="11" t="s">
        <v>145</v>
      </c>
      <c r="J247" s="11" t="s">
        <v>60</v>
      </c>
      <c r="K247">
        <v>0</v>
      </c>
      <c r="L247">
        <v>0</v>
      </c>
    </row>
    <row r="248" spans="1:12" x14ac:dyDescent="0.3">
      <c r="A248" s="11" t="s">
        <v>38</v>
      </c>
      <c r="B248" s="11" t="s">
        <v>64</v>
      </c>
      <c r="C248" s="11" t="s">
        <v>70</v>
      </c>
      <c r="D248">
        <v>32</v>
      </c>
      <c r="E248" s="11" t="s">
        <v>39</v>
      </c>
      <c r="F248" s="11" t="s">
        <v>102</v>
      </c>
      <c r="G248" t="s">
        <v>68</v>
      </c>
      <c r="H248" s="11" t="s">
        <v>132</v>
      </c>
      <c r="I248" s="11" t="s">
        <v>145</v>
      </c>
      <c r="J248" s="11" t="s">
        <v>68</v>
      </c>
      <c r="K248">
        <v>0</v>
      </c>
      <c r="L248">
        <v>0</v>
      </c>
    </row>
    <row r="249" spans="1:12" x14ac:dyDescent="0.3">
      <c r="A249" s="11" t="s">
        <v>22</v>
      </c>
      <c r="B249" s="11" t="s">
        <v>9</v>
      </c>
      <c r="C249" s="11" t="s">
        <v>77</v>
      </c>
      <c r="D249">
        <v>933</v>
      </c>
      <c r="E249" s="11" t="s">
        <v>11</v>
      </c>
      <c r="F249" s="11" t="s">
        <v>12</v>
      </c>
      <c r="G249">
        <v>64</v>
      </c>
      <c r="H249" s="11" t="s">
        <v>132</v>
      </c>
      <c r="I249" s="11" t="s">
        <v>145</v>
      </c>
      <c r="J249" s="11" t="s">
        <v>49</v>
      </c>
      <c r="K249">
        <v>1</v>
      </c>
      <c r="L249">
        <v>0</v>
      </c>
    </row>
    <row r="250" spans="1:12" x14ac:dyDescent="0.3">
      <c r="A250" s="11" t="s">
        <v>22</v>
      </c>
      <c r="B250" s="11" t="s">
        <v>34</v>
      </c>
      <c r="C250" s="11" t="s">
        <v>84</v>
      </c>
      <c r="D250">
        <v>244</v>
      </c>
      <c r="E250" s="11" t="s">
        <v>11</v>
      </c>
      <c r="F250" s="11" t="s">
        <v>35</v>
      </c>
      <c r="G250">
        <v>23</v>
      </c>
      <c r="H250" s="11" t="s">
        <v>135</v>
      </c>
      <c r="I250" s="11" t="s">
        <v>145</v>
      </c>
      <c r="J250" s="11" t="s">
        <v>17</v>
      </c>
      <c r="K250">
        <v>0</v>
      </c>
      <c r="L250">
        <v>0</v>
      </c>
    </row>
    <row r="251" spans="1:12" x14ac:dyDescent="0.3">
      <c r="A251" s="11" t="s">
        <v>166</v>
      </c>
      <c r="B251" s="11" t="s">
        <v>34</v>
      </c>
      <c r="C251" s="11" t="s">
        <v>34</v>
      </c>
      <c r="D251">
        <v>39</v>
      </c>
      <c r="E251" s="11" t="s">
        <v>158</v>
      </c>
      <c r="F251" s="11" t="s">
        <v>102</v>
      </c>
      <c r="G251" t="s">
        <v>68</v>
      </c>
      <c r="H251" s="11" t="s">
        <v>134</v>
      </c>
      <c r="I251" s="11" t="s">
        <v>145</v>
      </c>
      <c r="J251" s="11" t="s">
        <v>68</v>
      </c>
      <c r="K251">
        <v>0</v>
      </c>
      <c r="L251">
        <v>0</v>
      </c>
    </row>
    <row r="252" spans="1:12" x14ac:dyDescent="0.3">
      <c r="A252" s="11" t="s">
        <v>91</v>
      </c>
      <c r="B252" s="11" t="s">
        <v>34</v>
      </c>
      <c r="C252" s="11" t="s">
        <v>109</v>
      </c>
      <c r="D252">
        <v>39</v>
      </c>
      <c r="E252" s="11" t="s">
        <v>11</v>
      </c>
      <c r="F252" s="11" t="s">
        <v>12</v>
      </c>
      <c r="G252">
        <v>21</v>
      </c>
      <c r="H252" s="11" t="s">
        <v>132</v>
      </c>
      <c r="I252" s="11" t="s">
        <v>145</v>
      </c>
      <c r="J252" s="11" t="s">
        <v>17</v>
      </c>
      <c r="K252">
        <v>1</v>
      </c>
      <c r="L252">
        <v>0</v>
      </c>
    </row>
    <row r="253" spans="1:12" x14ac:dyDescent="0.3">
      <c r="A253" s="11" t="s">
        <v>8</v>
      </c>
      <c r="B253" s="11" t="s">
        <v>14</v>
      </c>
      <c r="C253" s="11" t="s">
        <v>45</v>
      </c>
      <c r="D253">
        <v>2</v>
      </c>
      <c r="E253" s="11" t="s">
        <v>25</v>
      </c>
      <c r="F253" s="11" t="s">
        <v>12</v>
      </c>
      <c r="G253">
        <v>19</v>
      </c>
      <c r="H253" s="11" t="s">
        <v>132</v>
      </c>
      <c r="I253" s="11" t="s">
        <v>145</v>
      </c>
      <c r="J253" s="11" t="s">
        <v>31</v>
      </c>
      <c r="K253">
        <v>0</v>
      </c>
      <c r="L253">
        <v>0</v>
      </c>
    </row>
    <row r="254" spans="1:12" x14ac:dyDescent="0.3">
      <c r="A254" s="11" t="s">
        <v>22</v>
      </c>
      <c r="B254" s="11" t="s">
        <v>29</v>
      </c>
      <c r="C254" s="11" t="s">
        <v>93</v>
      </c>
      <c r="D254">
        <v>742</v>
      </c>
      <c r="E254" s="11" t="s">
        <v>11</v>
      </c>
      <c r="F254" s="11" t="s">
        <v>12</v>
      </c>
      <c r="G254">
        <v>34</v>
      </c>
      <c r="H254" s="11" t="s">
        <v>138</v>
      </c>
      <c r="I254" s="11" t="s">
        <v>145</v>
      </c>
      <c r="J254" s="11" t="s">
        <v>21</v>
      </c>
      <c r="K254">
        <v>1</v>
      </c>
      <c r="L254">
        <v>0</v>
      </c>
    </row>
    <row r="255" spans="1:12" x14ac:dyDescent="0.3">
      <c r="A255" s="11" t="s">
        <v>22</v>
      </c>
      <c r="B255" s="11" t="s">
        <v>14</v>
      </c>
      <c r="C255" s="11" t="s">
        <v>66</v>
      </c>
      <c r="D255" t="s">
        <v>24</v>
      </c>
      <c r="E255" s="11" t="s">
        <v>11</v>
      </c>
      <c r="F255" s="11" t="s">
        <v>12</v>
      </c>
      <c r="G255">
        <v>36</v>
      </c>
      <c r="H255" s="11" t="s">
        <v>138</v>
      </c>
      <c r="I255" s="11" t="s">
        <v>145</v>
      </c>
      <c r="J255" s="11" t="s">
        <v>32</v>
      </c>
      <c r="K255">
        <v>1</v>
      </c>
      <c r="L255">
        <v>0</v>
      </c>
    </row>
    <row r="256" spans="1:12" x14ac:dyDescent="0.3">
      <c r="A256" s="11" t="s">
        <v>8</v>
      </c>
      <c r="B256" s="11" t="s">
        <v>29</v>
      </c>
      <c r="C256" s="11" t="s">
        <v>48</v>
      </c>
      <c r="D256">
        <v>141</v>
      </c>
      <c r="E256" s="11" t="s">
        <v>11</v>
      </c>
      <c r="F256" s="11" t="s">
        <v>12</v>
      </c>
      <c r="G256">
        <v>57</v>
      </c>
      <c r="H256" s="11" t="s">
        <v>137</v>
      </c>
      <c r="I256" s="11" t="s">
        <v>145</v>
      </c>
      <c r="J256" s="11" t="s">
        <v>36</v>
      </c>
      <c r="K256">
        <v>0</v>
      </c>
      <c r="L256">
        <v>0</v>
      </c>
    </row>
    <row r="257" spans="1:12" x14ac:dyDescent="0.3">
      <c r="A257" s="11" t="s">
        <v>113</v>
      </c>
      <c r="B257" s="11" t="s">
        <v>40</v>
      </c>
      <c r="C257" s="11" t="s">
        <v>40</v>
      </c>
      <c r="D257">
        <v>3</v>
      </c>
      <c r="E257" s="11" t="s">
        <v>11</v>
      </c>
      <c r="F257" s="11" t="s">
        <v>12</v>
      </c>
      <c r="G257">
        <v>45</v>
      </c>
      <c r="H257" s="11" t="s">
        <v>134</v>
      </c>
      <c r="I257" s="11" t="s">
        <v>145</v>
      </c>
      <c r="J257" s="11" t="s">
        <v>19</v>
      </c>
      <c r="K257">
        <v>0</v>
      </c>
      <c r="L257">
        <v>0</v>
      </c>
    </row>
    <row r="258" spans="1:12" x14ac:dyDescent="0.3">
      <c r="A258" s="11" t="s">
        <v>114</v>
      </c>
      <c r="B258" s="11" t="s">
        <v>29</v>
      </c>
      <c r="C258" s="11" t="s">
        <v>48</v>
      </c>
      <c r="D258">
        <v>4</v>
      </c>
      <c r="E258" s="11" t="s">
        <v>11</v>
      </c>
      <c r="F258" s="11" t="s">
        <v>12</v>
      </c>
      <c r="G258">
        <v>29</v>
      </c>
      <c r="H258" s="11" t="s">
        <v>134</v>
      </c>
      <c r="I258" s="11" t="s">
        <v>145</v>
      </c>
      <c r="J258" s="11" t="s">
        <v>13</v>
      </c>
      <c r="K258">
        <v>0</v>
      </c>
      <c r="L258">
        <v>0</v>
      </c>
    </row>
    <row r="259" spans="1:12" x14ac:dyDescent="0.3">
      <c r="A259" s="11" t="s">
        <v>22</v>
      </c>
      <c r="B259" s="11" t="s">
        <v>9</v>
      </c>
      <c r="C259" s="11" t="s">
        <v>26</v>
      </c>
      <c r="D259">
        <v>18</v>
      </c>
      <c r="E259" s="11" t="s">
        <v>11</v>
      </c>
      <c r="F259" s="11" t="s">
        <v>12</v>
      </c>
      <c r="G259">
        <v>62</v>
      </c>
      <c r="H259" s="11" t="s">
        <v>133</v>
      </c>
      <c r="I259" s="11" t="s">
        <v>145</v>
      </c>
      <c r="J259" s="11" t="s">
        <v>49</v>
      </c>
      <c r="K259">
        <v>0</v>
      </c>
      <c r="L259">
        <v>0</v>
      </c>
    </row>
    <row r="260" spans="1:12" x14ac:dyDescent="0.3">
      <c r="A260" s="11" t="s">
        <v>8</v>
      </c>
      <c r="B260" s="11" t="s">
        <v>64</v>
      </c>
      <c r="C260" s="11" t="s">
        <v>73</v>
      </c>
      <c r="D260">
        <v>36</v>
      </c>
      <c r="E260" s="11" t="s">
        <v>11</v>
      </c>
      <c r="F260" s="11" t="s">
        <v>35</v>
      </c>
      <c r="G260">
        <v>14</v>
      </c>
      <c r="H260" s="11" t="s">
        <v>133</v>
      </c>
      <c r="I260" s="11" t="s">
        <v>145</v>
      </c>
      <c r="J260" s="11" t="s">
        <v>43</v>
      </c>
      <c r="K260">
        <v>0</v>
      </c>
      <c r="L260">
        <v>1</v>
      </c>
    </row>
    <row r="261" spans="1:12" x14ac:dyDescent="0.3">
      <c r="A261" s="11" t="s">
        <v>22</v>
      </c>
      <c r="B261" s="11" t="s">
        <v>29</v>
      </c>
      <c r="C261" s="11" t="s">
        <v>93</v>
      </c>
      <c r="D261">
        <v>742</v>
      </c>
      <c r="E261" s="11" t="s">
        <v>11</v>
      </c>
      <c r="F261" s="11" t="s">
        <v>12</v>
      </c>
      <c r="G261">
        <v>34</v>
      </c>
      <c r="H261" s="11" t="s">
        <v>138</v>
      </c>
      <c r="I261" s="11" t="s">
        <v>145</v>
      </c>
      <c r="J261" s="11" t="s">
        <v>21</v>
      </c>
      <c r="K261">
        <v>1</v>
      </c>
      <c r="L261">
        <v>0</v>
      </c>
    </row>
    <row r="262" spans="1:12" x14ac:dyDescent="0.3">
      <c r="A262" s="11" t="s">
        <v>8</v>
      </c>
      <c r="B262" s="11" t="s">
        <v>9</v>
      </c>
      <c r="C262" s="11" t="s">
        <v>20</v>
      </c>
      <c r="D262">
        <v>1</v>
      </c>
      <c r="E262" s="11" t="s">
        <v>62</v>
      </c>
      <c r="F262" s="11" t="s">
        <v>35</v>
      </c>
      <c r="G262">
        <v>44</v>
      </c>
      <c r="H262" s="11" t="s">
        <v>132</v>
      </c>
      <c r="I262" s="11" t="s">
        <v>145</v>
      </c>
      <c r="J262" s="11" t="s">
        <v>28</v>
      </c>
      <c r="K262">
        <v>0</v>
      </c>
      <c r="L262">
        <v>0</v>
      </c>
    </row>
    <row r="263" spans="1:12" x14ac:dyDescent="0.3">
      <c r="A263" s="11" t="s">
        <v>166</v>
      </c>
      <c r="B263" s="11" t="s">
        <v>14</v>
      </c>
      <c r="C263" s="11" t="s">
        <v>14</v>
      </c>
      <c r="D263">
        <v>17</v>
      </c>
      <c r="E263" s="11" t="s">
        <v>158</v>
      </c>
      <c r="F263" s="11" t="s">
        <v>12</v>
      </c>
      <c r="G263" t="s">
        <v>68</v>
      </c>
      <c r="H263" s="11" t="s">
        <v>136</v>
      </c>
      <c r="I263" s="11" t="s">
        <v>145</v>
      </c>
      <c r="J263" s="11" t="s">
        <v>68</v>
      </c>
      <c r="K263">
        <v>0</v>
      </c>
      <c r="L263">
        <v>0</v>
      </c>
    </row>
    <row r="264" spans="1:12" x14ac:dyDescent="0.3">
      <c r="A264" s="11" t="s">
        <v>46</v>
      </c>
      <c r="B264" s="11" t="s">
        <v>34</v>
      </c>
      <c r="C264" s="11" t="s">
        <v>34</v>
      </c>
      <c r="D264" t="s">
        <v>24</v>
      </c>
      <c r="E264" s="11" t="s">
        <v>16</v>
      </c>
      <c r="F264" s="11" t="s">
        <v>35</v>
      </c>
      <c r="G264">
        <v>38</v>
      </c>
      <c r="H264" s="11" t="s">
        <v>136</v>
      </c>
      <c r="I264" s="11" t="s">
        <v>145</v>
      </c>
      <c r="J264" s="11" t="s">
        <v>32</v>
      </c>
      <c r="K264">
        <v>0</v>
      </c>
      <c r="L264">
        <v>0</v>
      </c>
    </row>
    <row r="265" spans="1:12" x14ac:dyDescent="0.3">
      <c r="A265" s="11" t="s">
        <v>8</v>
      </c>
      <c r="B265" s="11" t="s">
        <v>64</v>
      </c>
      <c r="C265" s="11" t="s">
        <v>99</v>
      </c>
      <c r="D265">
        <v>36</v>
      </c>
      <c r="E265" s="11" t="s">
        <v>11</v>
      </c>
      <c r="F265" s="11" t="s">
        <v>12</v>
      </c>
      <c r="G265">
        <v>32</v>
      </c>
      <c r="H265" s="11" t="s">
        <v>134</v>
      </c>
      <c r="I265" s="11" t="s">
        <v>145</v>
      </c>
      <c r="J265" s="11" t="s">
        <v>21</v>
      </c>
      <c r="K265">
        <v>0</v>
      </c>
      <c r="L265">
        <v>0</v>
      </c>
    </row>
    <row r="266" spans="1:12" x14ac:dyDescent="0.3">
      <c r="A266" s="11" t="s">
        <v>166</v>
      </c>
      <c r="B266" s="11" t="s">
        <v>50</v>
      </c>
      <c r="C266" s="11" t="s">
        <v>50</v>
      </c>
      <c r="D266" t="s">
        <v>24</v>
      </c>
      <c r="E266" s="11" t="s">
        <v>25</v>
      </c>
      <c r="F266" s="11" t="s">
        <v>12</v>
      </c>
      <c r="G266" t="s">
        <v>68</v>
      </c>
      <c r="H266" s="11" t="s">
        <v>134</v>
      </c>
      <c r="I266" s="11" t="s">
        <v>146</v>
      </c>
      <c r="J266" s="11" t="s">
        <v>68</v>
      </c>
      <c r="K266">
        <v>0</v>
      </c>
      <c r="L266">
        <v>0</v>
      </c>
    </row>
    <row r="267" spans="1:12" x14ac:dyDescent="0.3">
      <c r="A267" s="11" t="s">
        <v>46</v>
      </c>
      <c r="B267" s="11" t="s">
        <v>34</v>
      </c>
      <c r="C267" s="11" t="s">
        <v>104</v>
      </c>
      <c r="D267" t="s">
        <v>24</v>
      </c>
      <c r="E267" s="11" t="s">
        <v>11</v>
      </c>
      <c r="F267" s="11" t="s">
        <v>12</v>
      </c>
      <c r="G267">
        <v>36</v>
      </c>
      <c r="H267" s="11" t="s">
        <v>132</v>
      </c>
      <c r="I267" s="11" t="s">
        <v>146</v>
      </c>
      <c r="J267" s="11" t="s">
        <v>32</v>
      </c>
      <c r="K267">
        <v>1</v>
      </c>
      <c r="L267">
        <v>0</v>
      </c>
    </row>
    <row r="268" spans="1:12" x14ac:dyDescent="0.3">
      <c r="A268" s="11" t="s">
        <v>8</v>
      </c>
      <c r="B268" s="11" t="s">
        <v>14</v>
      </c>
      <c r="C268" s="11" t="s">
        <v>88</v>
      </c>
      <c r="D268">
        <v>2</v>
      </c>
      <c r="E268" s="11" t="s">
        <v>11</v>
      </c>
      <c r="F268" s="11" t="s">
        <v>12</v>
      </c>
      <c r="G268">
        <v>31</v>
      </c>
      <c r="H268" s="11" t="s">
        <v>138</v>
      </c>
      <c r="I268" s="11" t="s">
        <v>146</v>
      </c>
      <c r="J268" s="11" t="s">
        <v>21</v>
      </c>
      <c r="K268">
        <v>1</v>
      </c>
      <c r="L268">
        <v>0</v>
      </c>
    </row>
    <row r="269" spans="1:12" x14ac:dyDescent="0.3">
      <c r="A269" s="11" t="s">
        <v>22</v>
      </c>
      <c r="B269" s="11" t="s">
        <v>9</v>
      </c>
      <c r="C269" s="11" t="s">
        <v>116</v>
      </c>
      <c r="D269" t="s">
        <v>117</v>
      </c>
      <c r="E269" s="11" t="s">
        <v>11</v>
      </c>
      <c r="F269" s="11" t="s">
        <v>12</v>
      </c>
      <c r="G269">
        <v>30</v>
      </c>
      <c r="H269" s="11" t="s">
        <v>135</v>
      </c>
      <c r="I269" s="11" t="s">
        <v>146</v>
      </c>
      <c r="J269" s="11" t="s">
        <v>21</v>
      </c>
      <c r="K269">
        <v>0</v>
      </c>
      <c r="L269">
        <v>0</v>
      </c>
    </row>
    <row r="270" spans="1:12" x14ac:dyDescent="0.3">
      <c r="A270" s="11" t="s">
        <v>114</v>
      </c>
      <c r="B270" s="11" t="s">
        <v>29</v>
      </c>
      <c r="C270" s="11" t="s">
        <v>100</v>
      </c>
      <c r="D270">
        <v>4</v>
      </c>
      <c r="E270" s="11" t="s">
        <v>11</v>
      </c>
      <c r="F270" s="11" t="s">
        <v>12</v>
      </c>
      <c r="G270">
        <v>29</v>
      </c>
      <c r="H270" s="11" t="s">
        <v>136</v>
      </c>
      <c r="I270" s="11" t="s">
        <v>146</v>
      </c>
      <c r="J270" s="11" t="s">
        <v>13</v>
      </c>
      <c r="K270">
        <v>0</v>
      </c>
      <c r="L270">
        <v>0</v>
      </c>
    </row>
    <row r="271" spans="1:12" x14ac:dyDescent="0.3">
      <c r="A271" s="11" t="s">
        <v>46</v>
      </c>
      <c r="B271" s="11" t="s">
        <v>64</v>
      </c>
      <c r="C271" s="11" t="s">
        <v>70</v>
      </c>
      <c r="D271" t="s">
        <v>24</v>
      </c>
      <c r="E271" s="11" t="s">
        <v>39</v>
      </c>
      <c r="F271" s="11" t="s">
        <v>12</v>
      </c>
      <c r="G271">
        <v>44</v>
      </c>
      <c r="H271" s="11" t="s">
        <v>135</v>
      </c>
      <c r="I271" s="11" t="s">
        <v>146</v>
      </c>
      <c r="J271" s="11" t="s">
        <v>28</v>
      </c>
      <c r="K271">
        <v>0</v>
      </c>
      <c r="L271">
        <v>0</v>
      </c>
    </row>
    <row r="272" spans="1:12" x14ac:dyDescent="0.3">
      <c r="A272" s="11" t="s">
        <v>8</v>
      </c>
      <c r="B272" s="11" t="s">
        <v>29</v>
      </c>
      <c r="C272" s="11" t="s">
        <v>48</v>
      </c>
      <c r="D272">
        <v>250</v>
      </c>
      <c r="E272" s="11" t="s">
        <v>11</v>
      </c>
      <c r="F272" s="11" t="s">
        <v>12</v>
      </c>
      <c r="G272">
        <v>29</v>
      </c>
      <c r="H272" s="11" t="s">
        <v>134</v>
      </c>
      <c r="I272" s="11" t="s">
        <v>146</v>
      </c>
      <c r="J272" s="11" t="s">
        <v>13</v>
      </c>
      <c r="K272">
        <v>0</v>
      </c>
      <c r="L272">
        <v>0</v>
      </c>
    </row>
    <row r="273" spans="1:12" x14ac:dyDescent="0.3">
      <c r="A273" s="11" t="s">
        <v>91</v>
      </c>
      <c r="B273" s="11" t="s">
        <v>29</v>
      </c>
      <c r="C273" s="11" t="s">
        <v>30</v>
      </c>
      <c r="D273">
        <v>27</v>
      </c>
      <c r="E273" s="11" t="s">
        <v>25</v>
      </c>
      <c r="F273" s="11" t="s">
        <v>12</v>
      </c>
      <c r="G273">
        <v>30</v>
      </c>
      <c r="H273" s="11" t="s">
        <v>138</v>
      </c>
      <c r="I273" s="11" t="s">
        <v>146</v>
      </c>
      <c r="J273" s="11" t="s">
        <v>21</v>
      </c>
      <c r="K273">
        <v>0</v>
      </c>
      <c r="L273">
        <v>0</v>
      </c>
    </row>
    <row r="274" spans="1:12" x14ac:dyDescent="0.3">
      <c r="A274" s="11" t="s">
        <v>91</v>
      </c>
      <c r="B274" s="11" t="s">
        <v>29</v>
      </c>
      <c r="C274" s="11" t="s">
        <v>30</v>
      </c>
      <c r="D274">
        <v>27</v>
      </c>
      <c r="E274" s="11" t="s">
        <v>16</v>
      </c>
      <c r="F274" s="11" t="s">
        <v>35</v>
      </c>
      <c r="G274">
        <v>25</v>
      </c>
      <c r="H274" s="11" t="s">
        <v>138</v>
      </c>
      <c r="I274" s="11" t="s">
        <v>146</v>
      </c>
      <c r="J274" s="11" t="s">
        <v>13</v>
      </c>
      <c r="K274">
        <v>0</v>
      </c>
      <c r="L274">
        <v>0</v>
      </c>
    </row>
    <row r="275" spans="1:12" x14ac:dyDescent="0.3">
      <c r="A275" s="11" t="s">
        <v>8</v>
      </c>
      <c r="B275" s="11" t="s">
        <v>14</v>
      </c>
      <c r="C275" s="11" t="s">
        <v>45</v>
      </c>
      <c r="D275">
        <v>246</v>
      </c>
      <c r="E275" s="11" t="s">
        <v>11</v>
      </c>
      <c r="F275" s="11" t="s">
        <v>35</v>
      </c>
      <c r="G275">
        <v>26</v>
      </c>
      <c r="H275" s="11" t="s">
        <v>137</v>
      </c>
      <c r="I275" s="11" t="s">
        <v>146</v>
      </c>
      <c r="J275" s="11" t="s">
        <v>13</v>
      </c>
      <c r="K275">
        <v>0</v>
      </c>
      <c r="L275">
        <v>0</v>
      </c>
    </row>
    <row r="276" spans="1:12" x14ac:dyDescent="0.3">
      <c r="A276" s="11" t="s">
        <v>22</v>
      </c>
      <c r="B276" s="11" t="s">
        <v>40</v>
      </c>
      <c r="C276" s="11" t="s">
        <v>86</v>
      </c>
      <c r="D276">
        <v>4</v>
      </c>
      <c r="E276" s="11" t="s">
        <v>25</v>
      </c>
      <c r="F276" s="11" t="s">
        <v>12</v>
      </c>
      <c r="G276">
        <v>34</v>
      </c>
      <c r="H276" s="11" t="s">
        <v>135</v>
      </c>
      <c r="I276" s="11" t="s">
        <v>146</v>
      </c>
      <c r="J276" s="11" t="s">
        <v>21</v>
      </c>
      <c r="K276">
        <v>0</v>
      </c>
      <c r="L276">
        <v>0</v>
      </c>
    </row>
    <row r="277" spans="1:12" x14ac:dyDescent="0.3">
      <c r="A277" s="11" t="s">
        <v>8</v>
      </c>
      <c r="B277" s="11" t="s">
        <v>29</v>
      </c>
      <c r="C277" s="11" t="s">
        <v>107</v>
      </c>
      <c r="D277">
        <v>708</v>
      </c>
      <c r="E277" s="11" t="s">
        <v>11</v>
      </c>
      <c r="F277" s="11" t="s">
        <v>12</v>
      </c>
      <c r="G277">
        <v>20</v>
      </c>
      <c r="H277" s="11" t="s">
        <v>134</v>
      </c>
      <c r="I277" s="11" t="s">
        <v>146</v>
      </c>
      <c r="J277" s="11" t="s">
        <v>17</v>
      </c>
      <c r="K277">
        <v>0</v>
      </c>
      <c r="L277">
        <v>0</v>
      </c>
    </row>
    <row r="278" spans="1:12" x14ac:dyDescent="0.3">
      <c r="A278" s="11" t="s">
        <v>8</v>
      </c>
      <c r="B278" s="11" t="s">
        <v>34</v>
      </c>
      <c r="C278" s="11" t="s">
        <v>34</v>
      </c>
      <c r="D278" t="s">
        <v>24</v>
      </c>
      <c r="E278" s="11" t="s">
        <v>11</v>
      </c>
      <c r="F278" s="11" t="s">
        <v>12</v>
      </c>
      <c r="G278">
        <v>39</v>
      </c>
      <c r="H278" s="11" t="s">
        <v>133</v>
      </c>
      <c r="I278" s="11" t="s">
        <v>146</v>
      </c>
      <c r="J278" s="11" t="s">
        <v>32</v>
      </c>
      <c r="K278">
        <v>0</v>
      </c>
      <c r="L278">
        <v>0</v>
      </c>
    </row>
    <row r="279" spans="1:12" x14ac:dyDescent="0.3">
      <c r="A279" s="11" t="s">
        <v>22</v>
      </c>
      <c r="B279" s="11" t="s">
        <v>14</v>
      </c>
      <c r="C279" s="11" t="s">
        <v>88</v>
      </c>
      <c r="D279">
        <v>2</v>
      </c>
      <c r="E279" s="11" t="s">
        <v>25</v>
      </c>
      <c r="F279" s="11" t="s">
        <v>12</v>
      </c>
      <c r="G279">
        <v>44</v>
      </c>
      <c r="H279" s="11" t="s">
        <v>138</v>
      </c>
      <c r="I279" s="11" t="s">
        <v>146</v>
      </c>
      <c r="J279" s="11" t="s">
        <v>28</v>
      </c>
      <c r="K279">
        <v>0</v>
      </c>
      <c r="L279">
        <v>0</v>
      </c>
    </row>
    <row r="280" spans="1:12" x14ac:dyDescent="0.3">
      <c r="A280" s="11" t="s">
        <v>87</v>
      </c>
      <c r="B280" s="11" t="s">
        <v>14</v>
      </c>
      <c r="C280" s="11" t="s">
        <v>14</v>
      </c>
      <c r="D280">
        <v>1</v>
      </c>
      <c r="E280" s="11" t="s">
        <v>16</v>
      </c>
      <c r="F280" s="11" t="s">
        <v>12</v>
      </c>
      <c r="G280">
        <v>14</v>
      </c>
      <c r="H280" s="11" t="s">
        <v>138</v>
      </c>
      <c r="I280" s="11" t="s">
        <v>146</v>
      </c>
      <c r="J280" s="11" t="s">
        <v>43</v>
      </c>
      <c r="K280">
        <v>0</v>
      </c>
      <c r="L280">
        <v>0</v>
      </c>
    </row>
    <row r="281" spans="1:12" x14ac:dyDescent="0.3">
      <c r="A281" s="11" t="s">
        <v>22</v>
      </c>
      <c r="B281" s="11" t="s">
        <v>14</v>
      </c>
      <c r="C281" s="11" t="s">
        <v>61</v>
      </c>
      <c r="D281">
        <v>34</v>
      </c>
      <c r="E281" s="11" t="s">
        <v>11</v>
      </c>
      <c r="F281" s="11" t="s">
        <v>12</v>
      </c>
      <c r="G281">
        <v>43</v>
      </c>
      <c r="H281" s="11" t="s">
        <v>138</v>
      </c>
      <c r="I281" s="11" t="s">
        <v>146</v>
      </c>
      <c r="J281" s="11" t="s">
        <v>28</v>
      </c>
      <c r="K281">
        <v>1</v>
      </c>
      <c r="L281">
        <v>0</v>
      </c>
    </row>
    <row r="282" spans="1:12" x14ac:dyDescent="0.3">
      <c r="A282" s="11" t="s">
        <v>22</v>
      </c>
      <c r="B282" s="11" t="s">
        <v>29</v>
      </c>
      <c r="C282" s="11" t="s">
        <v>48</v>
      </c>
      <c r="D282">
        <v>142</v>
      </c>
      <c r="E282" s="11" t="s">
        <v>25</v>
      </c>
      <c r="F282" s="11" t="s">
        <v>12</v>
      </c>
      <c r="G282">
        <v>28</v>
      </c>
      <c r="H282" s="11" t="s">
        <v>136</v>
      </c>
      <c r="I282" s="11" t="s">
        <v>146</v>
      </c>
      <c r="J282" s="11" t="s">
        <v>13</v>
      </c>
      <c r="K282">
        <v>0</v>
      </c>
      <c r="L282">
        <v>0</v>
      </c>
    </row>
    <row r="283" spans="1:12" x14ac:dyDescent="0.3">
      <c r="A283" s="11" t="s">
        <v>22</v>
      </c>
      <c r="B283" s="11" t="s">
        <v>14</v>
      </c>
      <c r="C283" s="11" t="s">
        <v>41</v>
      </c>
      <c r="D283">
        <v>34</v>
      </c>
      <c r="E283" s="11" t="s">
        <v>25</v>
      </c>
      <c r="F283" s="11" t="s">
        <v>12</v>
      </c>
      <c r="G283">
        <v>64</v>
      </c>
      <c r="H283" s="11" t="s">
        <v>136</v>
      </c>
      <c r="I283" s="11" t="s">
        <v>146</v>
      </c>
      <c r="J283" s="11" t="s">
        <v>49</v>
      </c>
      <c r="K283">
        <v>0</v>
      </c>
      <c r="L283">
        <v>0</v>
      </c>
    </row>
    <row r="284" spans="1:12" x14ac:dyDescent="0.3">
      <c r="A284" s="11" t="s">
        <v>22</v>
      </c>
      <c r="B284" s="11" t="s">
        <v>14</v>
      </c>
      <c r="C284" s="11" t="s">
        <v>41</v>
      </c>
      <c r="D284">
        <v>34</v>
      </c>
      <c r="E284" s="11" t="s">
        <v>16</v>
      </c>
      <c r="F284" s="11" t="s">
        <v>12</v>
      </c>
      <c r="G284">
        <v>57</v>
      </c>
      <c r="H284" s="11" t="s">
        <v>136</v>
      </c>
      <c r="I284" s="11" t="s">
        <v>146</v>
      </c>
      <c r="J284" s="11" t="s">
        <v>36</v>
      </c>
      <c r="K284">
        <v>0</v>
      </c>
      <c r="L284">
        <v>0</v>
      </c>
    </row>
    <row r="285" spans="1:12" x14ac:dyDescent="0.3">
      <c r="A285" s="11" t="s">
        <v>8</v>
      </c>
      <c r="B285" s="11" t="s">
        <v>14</v>
      </c>
      <c r="C285" s="11" t="s">
        <v>41</v>
      </c>
      <c r="D285">
        <v>34</v>
      </c>
      <c r="E285" s="11" t="s">
        <v>11</v>
      </c>
      <c r="F285" s="11" t="s">
        <v>12</v>
      </c>
      <c r="G285">
        <v>24</v>
      </c>
      <c r="H285" s="11" t="s">
        <v>136</v>
      </c>
      <c r="I285" s="11" t="s">
        <v>146</v>
      </c>
      <c r="J285" s="11" t="s">
        <v>17</v>
      </c>
      <c r="K285">
        <v>0</v>
      </c>
      <c r="L285">
        <v>0</v>
      </c>
    </row>
    <row r="286" spans="1:12" x14ac:dyDescent="0.3">
      <c r="A286" s="11" t="s">
        <v>8</v>
      </c>
      <c r="B286" s="11" t="s">
        <v>34</v>
      </c>
      <c r="C286" s="11" t="s">
        <v>34</v>
      </c>
      <c r="D286" t="s">
        <v>24</v>
      </c>
      <c r="E286" s="11" t="s">
        <v>25</v>
      </c>
      <c r="F286" s="11" t="s">
        <v>35</v>
      </c>
      <c r="G286">
        <v>27</v>
      </c>
      <c r="H286" s="11" t="s">
        <v>136</v>
      </c>
      <c r="I286" s="11" t="s">
        <v>146</v>
      </c>
      <c r="J286" s="11" t="s">
        <v>13</v>
      </c>
      <c r="K286">
        <v>0</v>
      </c>
      <c r="L286">
        <v>0</v>
      </c>
    </row>
    <row r="287" spans="1:12" x14ac:dyDescent="0.3">
      <c r="A287" s="11" t="s">
        <v>38</v>
      </c>
      <c r="B287" s="11" t="s">
        <v>40</v>
      </c>
      <c r="C287" s="11" t="s">
        <v>118</v>
      </c>
      <c r="D287">
        <v>3</v>
      </c>
      <c r="E287" s="11" t="s">
        <v>39</v>
      </c>
      <c r="F287" s="11" t="s">
        <v>35</v>
      </c>
      <c r="G287">
        <v>34</v>
      </c>
      <c r="H287" s="11" t="s">
        <v>134</v>
      </c>
      <c r="I287" s="11" t="s">
        <v>146</v>
      </c>
      <c r="J287" s="11" t="s">
        <v>21</v>
      </c>
      <c r="K287">
        <v>0</v>
      </c>
      <c r="L287">
        <v>0</v>
      </c>
    </row>
    <row r="288" spans="1:12" x14ac:dyDescent="0.3">
      <c r="A288" s="11" t="s">
        <v>38</v>
      </c>
      <c r="B288" s="11" t="s">
        <v>14</v>
      </c>
      <c r="C288" s="11" t="s">
        <v>18</v>
      </c>
      <c r="D288">
        <v>2</v>
      </c>
      <c r="E288" s="11" t="s">
        <v>39</v>
      </c>
      <c r="F288" s="11" t="s">
        <v>12</v>
      </c>
      <c r="G288">
        <v>27</v>
      </c>
      <c r="H288" s="11" t="s">
        <v>134</v>
      </c>
      <c r="I288" s="11" t="s">
        <v>146</v>
      </c>
      <c r="J288" s="11" t="s">
        <v>13</v>
      </c>
      <c r="K288">
        <v>0</v>
      </c>
      <c r="L288">
        <v>0</v>
      </c>
    </row>
    <row r="289" spans="1:12" x14ac:dyDescent="0.3">
      <c r="A289" s="11" t="s">
        <v>22</v>
      </c>
      <c r="B289" s="11" t="s">
        <v>9</v>
      </c>
      <c r="C289" s="11" t="s">
        <v>20</v>
      </c>
      <c r="D289">
        <v>1</v>
      </c>
      <c r="E289" s="11" t="s">
        <v>16</v>
      </c>
      <c r="F289" s="11" t="s">
        <v>12</v>
      </c>
      <c r="G289" t="s">
        <v>68</v>
      </c>
      <c r="H289" s="11" t="s">
        <v>133</v>
      </c>
      <c r="I289" s="11" t="s">
        <v>146</v>
      </c>
      <c r="J289" s="11" t="s">
        <v>68</v>
      </c>
      <c r="K289">
        <v>0</v>
      </c>
      <c r="L289">
        <v>0</v>
      </c>
    </row>
    <row r="290" spans="1:12" x14ac:dyDescent="0.3">
      <c r="A290" s="11" t="s">
        <v>22</v>
      </c>
      <c r="B290" s="11" t="s">
        <v>29</v>
      </c>
      <c r="C290" s="11" t="s">
        <v>74</v>
      </c>
      <c r="D290">
        <v>6</v>
      </c>
      <c r="E290" s="11" t="s">
        <v>25</v>
      </c>
      <c r="F290" s="11" t="s">
        <v>12</v>
      </c>
      <c r="G290">
        <v>25</v>
      </c>
      <c r="H290" s="11" t="s">
        <v>132</v>
      </c>
      <c r="I290" s="11" t="s">
        <v>146</v>
      </c>
      <c r="J290" s="11" t="s">
        <v>13</v>
      </c>
      <c r="K290">
        <v>0</v>
      </c>
      <c r="L290">
        <v>0</v>
      </c>
    </row>
    <row r="291" spans="1:12" x14ac:dyDescent="0.3">
      <c r="A291" s="11" t="s">
        <v>8</v>
      </c>
      <c r="B291" s="11" t="s">
        <v>64</v>
      </c>
      <c r="C291" s="11" t="s">
        <v>99</v>
      </c>
      <c r="D291">
        <v>36</v>
      </c>
      <c r="E291" s="11" t="s">
        <v>11</v>
      </c>
      <c r="F291" s="11" t="s">
        <v>12</v>
      </c>
      <c r="G291">
        <v>31</v>
      </c>
      <c r="H291" s="11" t="s">
        <v>138</v>
      </c>
      <c r="I291" s="11" t="s">
        <v>146</v>
      </c>
      <c r="J291" s="11" t="s">
        <v>21</v>
      </c>
      <c r="K291">
        <v>1</v>
      </c>
      <c r="L291">
        <v>0</v>
      </c>
    </row>
    <row r="292" spans="1:12" x14ac:dyDescent="0.3">
      <c r="A292" s="11" t="s">
        <v>38</v>
      </c>
      <c r="B292" s="11" t="s">
        <v>34</v>
      </c>
      <c r="C292" s="11" t="s">
        <v>44</v>
      </c>
      <c r="D292">
        <v>209</v>
      </c>
      <c r="E292" s="11" t="s">
        <v>39</v>
      </c>
      <c r="F292" s="11" t="s">
        <v>12</v>
      </c>
      <c r="G292">
        <v>16</v>
      </c>
      <c r="H292" s="11" t="s">
        <v>136</v>
      </c>
      <c r="I292" s="11" t="s">
        <v>146</v>
      </c>
      <c r="J292" s="11" t="s">
        <v>31</v>
      </c>
      <c r="K292">
        <v>0</v>
      </c>
      <c r="L292">
        <v>0</v>
      </c>
    </row>
    <row r="293" spans="1:12" x14ac:dyDescent="0.3">
      <c r="A293" s="11" t="s">
        <v>8</v>
      </c>
      <c r="B293" s="11" t="s">
        <v>29</v>
      </c>
      <c r="C293" s="11" t="s">
        <v>30</v>
      </c>
      <c r="D293">
        <v>27</v>
      </c>
      <c r="E293" s="11" t="s">
        <v>25</v>
      </c>
      <c r="F293" s="11" t="s">
        <v>12</v>
      </c>
      <c r="G293">
        <v>49</v>
      </c>
      <c r="H293" s="11" t="s">
        <v>135</v>
      </c>
      <c r="I293" s="11" t="s">
        <v>146</v>
      </c>
      <c r="J293" s="11" t="s">
        <v>19</v>
      </c>
      <c r="K293">
        <v>0</v>
      </c>
      <c r="L293">
        <v>0</v>
      </c>
    </row>
    <row r="294" spans="1:12" x14ac:dyDescent="0.3">
      <c r="A294" s="11" t="s">
        <v>22</v>
      </c>
      <c r="B294" s="11" t="s">
        <v>14</v>
      </c>
      <c r="C294" s="11" t="s">
        <v>14</v>
      </c>
      <c r="D294" t="s">
        <v>24</v>
      </c>
      <c r="E294" s="11" t="s">
        <v>11</v>
      </c>
      <c r="F294" s="11" t="s">
        <v>12</v>
      </c>
      <c r="G294">
        <v>30</v>
      </c>
      <c r="H294" s="11" t="s">
        <v>135</v>
      </c>
      <c r="I294" s="11" t="s">
        <v>146</v>
      </c>
      <c r="J294" s="11" t="s">
        <v>21</v>
      </c>
      <c r="K294">
        <v>0</v>
      </c>
      <c r="L294">
        <v>0</v>
      </c>
    </row>
    <row r="295" spans="1:12" x14ac:dyDescent="0.3">
      <c r="A295" s="11" t="s">
        <v>8</v>
      </c>
      <c r="B295" s="11" t="s">
        <v>29</v>
      </c>
      <c r="C295" s="11" t="s">
        <v>29</v>
      </c>
      <c r="D295" t="s">
        <v>117</v>
      </c>
      <c r="E295" s="11" t="s">
        <v>11</v>
      </c>
      <c r="F295" s="11" t="s">
        <v>12</v>
      </c>
      <c r="G295">
        <v>19</v>
      </c>
      <c r="H295" s="11" t="s">
        <v>134</v>
      </c>
      <c r="I295" s="11" t="s">
        <v>146</v>
      </c>
      <c r="J295" s="11" t="s">
        <v>31</v>
      </c>
      <c r="K295">
        <v>0</v>
      </c>
      <c r="L295">
        <v>1</v>
      </c>
    </row>
    <row r="296" spans="1:12" x14ac:dyDescent="0.3">
      <c r="A296" s="11" t="s">
        <v>22</v>
      </c>
      <c r="B296" s="11" t="s">
        <v>64</v>
      </c>
      <c r="C296" s="11" t="s">
        <v>101</v>
      </c>
      <c r="D296">
        <v>812</v>
      </c>
      <c r="E296" s="11" t="s">
        <v>11</v>
      </c>
      <c r="F296" s="11" t="s">
        <v>12</v>
      </c>
      <c r="G296">
        <v>23</v>
      </c>
      <c r="H296" s="11" t="s">
        <v>135</v>
      </c>
      <c r="I296" s="11" t="s">
        <v>146</v>
      </c>
      <c r="J296" s="11" t="s">
        <v>17</v>
      </c>
      <c r="K296">
        <v>0</v>
      </c>
      <c r="L296">
        <v>0</v>
      </c>
    </row>
    <row r="297" spans="1:12" x14ac:dyDescent="0.3">
      <c r="A297" s="11" t="s">
        <v>8</v>
      </c>
      <c r="B297" s="11" t="s">
        <v>14</v>
      </c>
      <c r="C297" s="11" t="s">
        <v>18</v>
      </c>
      <c r="D297">
        <v>34</v>
      </c>
      <c r="E297" s="11" t="s">
        <v>11</v>
      </c>
      <c r="F297" s="11" t="s">
        <v>12</v>
      </c>
      <c r="G297">
        <v>24</v>
      </c>
      <c r="H297" s="11" t="s">
        <v>133</v>
      </c>
      <c r="I297" s="11" t="s">
        <v>146</v>
      </c>
      <c r="J297" s="11" t="s">
        <v>17</v>
      </c>
      <c r="K297">
        <v>0</v>
      </c>
      <c r="L297">
        <v>0</v>
      </c>
    </row>
    <row r="298" spans="1:12" x14ac:dyDescent="0.3">
      <c r="A298" s="11" t="s">
        <v>8</v>
      </c>
      <c r="B298" s="11" t="s">
        <v>14</v>
      </c>
      <c r="C298" s="11" t="s">
        <v>14</v>
      </c>
      <c r="D298">
        <v>160</v>
      </c>
      <c r="E298" s="11" t="s">
        <v>11</v>
      </c>
      <c r="F298" s="11" t="s">
        <v>12</v>
      </c>
      <c r="G298">
        <v>40</v>
      </c>
      <c r="H298" s="11" t="s">
        <v>133</v>
      </c>
      <c r="I298" s="11" t="s">
        <v>146</v>
      </c>
      <c r="J298" s="11" t="s">
        <v>28</v>
      </c>
      <c r="K298">
        <v>0</v>
      </c>
      <c r="L298">
        <v>0</v>
      </c>
    </row>
    <row r="299" spans="1:12" x14ac:dyDescent="0.3">
      <c r="A299" s="11" t="s">
        <v>8</v>
      </c>
      <c r="B299" s="11" t="s">
        <v>14</v>
      </c>
      <c r="C299" s="11" t="s">
        <v>41</v>
      </c>
      <c r="D299">
        <v>34</v>
      </c>
      <c r="E299" s="11" t="s">
        <v>11</v>
      </c>
      <c r="F299" s="11" t="s">
        <v>12</v>
      </c>
      <c r="G299" t="s">
        <v>68</v>
      </c>
      <c r="H299" s="11" t="s">
        <v>133</v>
      </c>
      <c r="I299" s="11" t="s">
        <v>146</v>
      </c>
      <c r="J299" s="11" t="s">
        <v>68</v>
      </c>
      <c r="K299">
        <v>0</v>
      </c>
      <c r="L299">
        <v>0</v>
      </c>
    </row>
    <row r="300" spans="1:12" x14ac:dyDescent="0.3">
      <c r="A300" s="11" t="s">
        <v>8</v>
      </c>
      <c r="B300" s="11" t="s">
        <v>29</v>
      </c>
      <c r="C300" s="11" t="s">
        <v>93</v>
      </c>
      <c r="D300">
        <v>1</v>
      </c>
      <c r="E300" s="11" t="s">
        <v>11</v>
      </c>
      <c r="F300" s="11" t="s">
        <v>12</v>
      </c>
      <c r="G300">
        <v>44</v>
      </c>
      <c r="H300" s="11" t="s">
        <v>137</v>
      </c>
      <c r="I300" s="11" t="s">
        <v>147</v>
      </c>
      <c r="J300" s="11" t="s">
        <v>28</v>
      </c>
      <c r="K300">
        <v>0</v>
      </c>
      <c r="L300">
        <v>0</v>
      </c>
    </row>
    <row r="301" spans="1:12" x14ac:dyDescent="0.3">
      <c r="A301" s="11" t="s">
        <v>8</v>
      </c>
      <c r="B301" s="11" t="s">
        <v>14</v>
      </c>
      <c r="C301" s="11" t="s">
        <v>67</v>
      </c>
      <c r="D301" t="s">
        <v>24</v>
      </c>
      <c r="E301" s="11" t="s">
        <v>62</v>
      </c>
      <c r="F301" s="11" t="s">
        <v>35</v>
      </c>
      <c r="G301">
        <v>39</v>
      </c>
      <c r="H301" s="11" t="s">
        <v>137</v>
      </c>
      <c r="I301" s="11" t="s">
        <v>147</v>
      </c>
      <c r="J301" s="11" t="s">
        <v>32</v>
      </c>
      <c r="K301">
        <v>0</v>
      </c>
      <c r="L301">
        <v>0</v>
      </c>
    </row>
    <row r="302" spans="1:12" x14ac:dyDescent="0.3">
      <c r="A302" s="11" t="s">
        <v>166</v>
      </c>
      <c r="B302" s="11" t="s">
        <v>9</v>
      </c>
      <c r="C302" s="11" t="s">
        <v>96</v>
      </c>
      <c r="D302">
        <v>504</v>
      </c>
      <c r="E302" s="11" t="s">
        <v>158</v>
      </c>
      <c r="F302" s="11" t="s">
        <v>12</v>
      </c>
      <c r="G302">
        <v>62</v>
      </c>
      <c r="H302" s="11" t="s">
        <v>137</v>
      </c>
      <c r="I302" s="11" t="s">
        <v>147</v>
      </c>
      <c r="J302" s="11" t="s">
        <v>49</v>
      </c>
      <c r="K302">
        <v>0</v>
      </c>
      <c r="L302">
        <v>0</v>
      </c>
    </row>
    <row r="303" spans="1:12" x14ac:dyDescent="0.3">
      <c r="A303" s="11" t="s">
        <v>8</v>
      </c>
      <c r="B303" s="11" t="s">
        <v>40</v>
      </c>
      <c r="C303" s="11" t="s">
        <v>40</v>
      </c>
      <c r="D303">
        <v>1</v>
      </c>
      <c r="E303" s="11" t="s">
        <v>39</v>
      </c>
      <c r="F303" s="11" t="s">
        <v>12</v>
      </c>
      <c r="G303">
        <v>37</v>
      </c>
      <c r="H303" s="11" t="s">
        <v>136</v>
      </c>
      <c r="I303" s="11" t="s">
        <v>147</v>
      </c>
      <c r="J303" s="11" t="s">
        <v>32</v>
      </c>
      <c r="K303">
        <v>0</v>
      </c>
      <c r="L303">
        <v>0</v>
      </c>
    </row>
    <row r="304" spans="1:12" x14ac:dyDescent="0.3">
      <c r="A304" s="11" t="s">
        <v>22</v>
      </c>
      <c r="B304" s="11" t="s">
        <v>34</v>
      </c>
      <c r="C304" s="11" t="s">
        <v>80</v>
      </c>
      <c r="D304">
        <v>167</v>
      </c>
      <c r="E304" s="11" t="s">
        <v>11</v>
      </c>
      <c r="F304" s="11" t="s">
        <v>12</v>
      </c>
      <c r="G304">
        <v>37</v>
      </c>
      <c r="H304" s="11" t="s">
        <v>136</v>
      </c>
      <c r="I304" s="11" t="s">
        <v>147</v>
      </c>
      <c r="J304" s="11" t="s">
        <v>32</v>
      </c>
      <c r="K304">
        <v>0</v>
      </c>
      <c r="L304">
        <v>0</v>
      </c>
    </row>
    <row r="305" spans="1:12" x14ac:dyDescent="0.3">
      <c r="A305" s="11" t="s">
        <v>38</v>
      </c>
      <c r="B305" s="11" t="s">
        <v>64</v>
      </c>
      <c r="C305" s="11" t="s">
        <v>73</v>
      </c>
      <c r="D305">
        <v>256</v>
      </c>
      <c r="E305" s="11" t="s">
        <v>39</v>
      </c>
      <c r="F305" s="11" t="s">
        <v>12</v>
      </c>
      <c r="G305">
        <v>27</v>
      </c>
      <c r="H305" s="11" t="s">
        <v>134</v>
      </c>
      <c r="I305" s="11" t="s">
        <v>147</v>
      </c>
      <c r="J305" s="11" t="s">
        <v>13</v>
      </c>
      <c r="K305">
        <v>0</v>
      </c>
      <c r="L305">
        <v>0</v>
      </c>
    </row>
    <row r="306" spans="1:12" x14ac:dyDescent="0.3">
      <c r="A306" s="11" t="s">
        <v>8</v>
      </c>
      <c r="B306" s="11" t="s">
        <v>14</v>
      </c>
      <c r="C306" s="11" t="s">
        <v>18</v>
      </c>
      <c r="D306">
        <v>2</v>
      </c>
      <c r="E306" s="11" t="s">
        <v>11</v>
      </c>
      <c r="F306" s="11" t="s">
        <v>12</v>
      </c>
      <c r="G306">
        <v>62</v>
      </c>
      <c r="H306" s="11" t="s">
        <v>133</v>
      </c>
      <c r="I306" s="11" t="s">
        <v>147</v>
      </c>
      <c r="J306" s="11" t="s">
        <v>49</v>
      </c>
      <c r="K306">
        <v>0</v>
      </c>
      <c r="L306">
        <v>0</v>
      </c>
    </row>
    <row r="307" spans="1:12" x14ac:dyDescent="0.3">
      <c r="A307" s="11" t="s">
        <v>166</v>
      </c>
      <c r="B307" s="11" t="s">
        <v>9</v>
      </c>
      <c r="C307" s="11" t="s">
        <v>23</v>
      </c>
      <c r="D307">
        <v>21</v>
      </c>
      <c r="E307" s="11" t="s">
        <v>158</v>
      </c>
      <c r="F307" s="11" t="s">
        <v>12</v>
      </c>
      <c r="G307">
        <v>69</v>
      </c>
      <c r="H307" s="11" t="s">
        <v>133</v>
      </c>
      <c r="I307" s="11" t="s">
        <v>147</v>
      </c>
      <c r="J307" s="11" t="s">
        <v>27</v>
      </c>
      <c r="K307">
        <v>0</v>
      </c>
      <c r="L307">
        <v>0</v>
      </c>
    </row>
    <row r="308" spans="1:12" x14ac:dyDescent="0.3">
      <c r="A308" s="11" t="s">
        <v>166</v>
      </c>
      <c r="B308" s="11" t="s">
        <v>14</v>
      </c>
      <c r="C308" s="11" t="s">
        <v>41</v>
      </c>
      <c r="D308">
        <v>34</v>
      </c>
      <c r="E308" s="11" t="s">
        <v>158</v>
      </c>
      <c r="F308" s="11" t="s">
        <v>12</v>
      </c>
      <c r="G308">
        <v>34</v>
      </c>
      <c r="H308" s="11" t="s">
        <v>138</v>
      </c>
      <c r="I308" s="11" t="s">
        <v>147</v>
      </c>
      <c r="J308" s="11" t="s">
        <v>21</v>
      </c>
      <c r="K308">
        <v>0</v>
      </c>
      <c r="L308">
        <v>0</v>
      </c>
    </row>
    <row r="309" spans="1:12" x14ac:dyDescent="0.3">
      <c r="A309" s="11" t="s">
        <v>22</v>
      </c>
      <c r="B309" s="11" t="s">
        <v>29</v>
      </c>
      <c r="C309" s="11" t="s">
        <v>74</v>
      </c>
      <c r="D309" t="s">
        <v>24</v>
      </c>
      <c r="E309" s="11" t="s">
        <v>11</v>
      </c>
      <c r="F309" s="11" t="s">
        <v>12</v>
      </c>
      <c r="G309">
        <v>46</v>
      </c>
      <c r="H309" s="11" t="s">
        <v>138</v>
      </c>
      <c r="I309" s="11" t="s">
        <v>147</v>
      </c>
      <c r="J309" s="11" t="s">
        <v>19</v>
      </c>
      <c r="K309">
        <v>1</v>
      </c>
      <c r="L309">
        <v>0</v>
      </c>
    </row>
    <row r="310" spans="1:12" x14ac:dyDescent="0.3">
      <c r="A310" s="11" t="s">
        <v>22</v>
      </c>
      <c r="B310" s="11" t="s">
        <v>29</v>
      </c>
      <c r="C310" s="11" t="s">
        <v>48</v>
      </c>
      <c r="D310">
        <v>141</v>
      </c>
      <c r="E310" s="11" t="s">
        <v>16</v>
      </c>
      <c r="F310" s="11" t="s">
        <v>35</v>
      </c>
      <c r="G310">
        <v>30</v>
      </c>
      <c r="H310" s="11" t="s">
        <v>138</v>
      </c>
      <c r="I310" s="11" t="s">
        <v>147</v>
      </c>
      <c r="J310" s="11" t="s">
        <v>21</v>
      </c>
      <c r="K310">
        <v>0</v>
      </c>
      <c r="L310">
        <v>0</v>
      </c>
    </row>
    <row r="311" spans="1:12" x14ac:dyDescent="0.3">
      <c r="A311" s="11" t="s">
        <v>8</v>
      </c>
      <c r="B311" s="11" t="s">
        <v>29</v>
      </c>
      <c r="C311" s="11" t="s">
        <v>74</v>
      </c>
      <c r="D311">
        <v>4</v>
      </c>
      <c r="E311" s="11" t="s">
        <v>11</v>
      </c>
      <c r="F311" s="11" t="s">
        <v>35</v>
      </c>
      <c r="G311" t="s">
        <v>68</v>
      </c>
      <c r="H311" s="11" t="s">
        <v>138</v>
      </c>
      <c r="I311" s="11" t="s">
        <v>147</v>
      </c>
      <c r="J311" s="11" t="s">
        <v>68</v>
      </c>
      <c r="K311">
        <v>1</v>
      </c>
      <c r="L311">
        <v>0</v>
      </c>
    </row>
    <row r="312" spans="1:12" x14ac:dyDescent="0.3">
      <c r="A312" s="11" t="s">
        <v>8</v>
      </c>
      <c r="B312" s="11" t="s">
        <v>50</v>
      </c>
      <c r="C312" s="11" t="s">
        <v>108</v>
      </c>
      <c r="D312">
        <v>224</v>
      </c>
      <c r="E312" s="11" t="s">
        <v>11</v>
      </c>
      <c r="F312" s="11" t="s">
        <v>35</v>
      </c>
      <c r="G312">
        <v>22</v>
      </c>
      <c r="H312" s="11" t="s">
        <v>138</v>
      </c>
      <c r="I312" s="11" t="s">
        <v>147</v>
      </c>
      <c r="J312" s="11" t="s">
        <v>17</v>
      </c>
      <c r="K312">
        <v>1</v>
      </c>
      <c r="L312">
        <v>0</v>
      </c>
    </row>
    <row r="313" spans="1:12" x14ac:dyDescent="0.3">
      <c r="A313" s="11" t="s">
        <v>46</v>
      </c>
      <c r="B313" s="11" t="s">
        <v>34</v>
      </c>
      <c r="C313" s="11" t="s">
        <v>97</v>
      </c>
      <c r="D313">
        <v>2</v>
      </c>
      <c r="E313" s="11" t="s">
        <v>11</v>
      </c>
      <c r="F313" s="11" t="s">
        <v>12</v>
      </c>
      <c r="G313">
        <v>21</v>
      </c>
      <c r="H313" s="11" t="s">
        <v>138</v>
      </c>
      <c r="I313" s="11" t="s">
        <v>147</v>
      </c>
      <c r="J313" s="11" t="s">
        <v>17</v>
      </c>
      <c r="K313">
        <v>1</v>
      </c>
      <c r="L313">
        <v>0</v>
      </c>
    </row>
    <row r="314" spans="1:12" x14ac:dyDescent="0.3">
      <c r="A314" s="11" t="s">
        <v>8</v>
      </c>
      <c r="B314" s="11" t="s">
        <v>14</v>
      </c>
      <c r="C314" s="11" t="s">
        <v>14</v>
      </c>
      <c r="D314">
        <v>614</v>
      </c>
      <c r="E314" s="11" t="s">
        <v>11</v>
      </c>
      <c r="F314" s="11" t="s">
        <v>12</v>
      </c>
      <c r="G314" t="s">
        <v>68</v>
      </c>
      <c r="H314" s="11" t="s">
        <v>137</v>
      </c>
      <c r="I314" s="11" t="s">
        <v>147</v>
      </c>
      <c r="J314" s="11" t="s">
        <v>68</v>
      </c>
      <c r="K314">
        <v>0</v>
      </c>
      <c r="L314">
        <v>0</v>
      </c>
    </row>
    <row r="315" spans="1:12" x14ac:dyDescent="0.3">
      <c r="A315" s="11" t="s">
        <v>8</v>
      </c>
      <c r="B315" s="11" t="s">
        <v>29</v>
      </c>
      <c r="C315" s="11" t="s">
        <v>29</v>
      </c>
      <c r="D315">
        <v>1</v>
      </c>
      <c r="E315" s="11" t="s">
        <v>11</v>
      </c>
      <c r="F315" s="11" t="s">
        <v>12</v>
      </c>
      <c r="G315">
        <v>22</v>
      </c>
      <c r="H315" s="11" t="s">
        <v>136</v>
      </c>
      <c r="I315" s="11" t="s">
        <v>147</v>
      </c>
      <c r="J315" s="11" t="s">
        <v>17</v>
      </c>
      <c r="K315">
        <v>0</v>
      </c>
      <c r="L315">
        <v>0</v>
      </c>
    </row>
    <row r="316" spans="1:12" x14ac:dyDescent="0.3">
      <c r="A316" s="11" t="s">
        <v>8</v>
      </c>
      <c r="B316" s="11" t="s">
        <v>29</v>
      </c>
      <c r="C316" s="11" t="s">
        <v>30</v>
      </c>
      <c r="D316">
        <v>3</v>
      </c>
      <c r="E316" s="11" t="s">
        <v>11</v>
      </c>
      <c r="F316" s="11" t="s">
        <v>12</v>
      </c>
      <c r="G316">
        <v>20</v>
      </c>
      <c r="H316" s="11" t="s">
        <v>134</v>
      </c>
      <c r="I316" s="11" t="s">
        <v>147</v>
      </c>
      <c r="J316" s="11" t="s">
        <v>17</v>
      </c>
      <c r="K316">
        <v>0</v>
      </c>
      <c r="L316">
        <v>0</v>
      </c>
    </row>
    <row r="317" spans="1:12" x14ac:dyDescent="0.3">
      <c r="A317" s="11" t="s">
        <v>22</v>
      </c>
      <c r="B317" s="11" t="s">
        <v>34</v>
      </c>
      <c r="C317" s="11" t="s">
        <v>84</v>
      </c>
      <c r="D317" t="s">
        <v>24</v>
      </c>
      <c r="E317" s="11" t="s">
        <v>25</v>
      </c>
      <c r="F317" s="11" t="s">
        <v>35</v>
      </c>
      <c r="G317">
        <v>34</v>
      </c>
      <c r="H317" s="11" t="s">
        <v>134</v>
      </c>
      <c r="I317" s="11" t="s">
        <v>147</v>
      </c>
      <c r="J317" s="11" t="s">
        <v>21</v>
      </c>
      <c r="K317">
        <v>0</v>
      </c>
      <c r="L317">
        <v>0</v>
      </c>
    </row>
    <row r="318" spans="1:12" x14ac:dyDescent="0.3">
      <c r="A318" s="11" t="s">
        <v>8</v>
      </c>
      <c r="B318" s="11" t="s">
        <v>50</v>
      </c>
      <c r="C318" s="11" t="s">
        <v>108</v>
      </c>
      <c r="D318" t="s">
        <v>24</v>
      </c>
      <c r="E318" s="11" t="s">
        <v>62</v>
      </c>
      <c r="F318" s="11" t="s">
        <v>12</v>
      </c>
      <c r="G318">
        <v>26</v>
      </c>
      <c r="H318" s="11" t="s">
        <v>133</v>
      </c>
      <c r="I318" s="11" t="s">
        <v>147</v>
      </c>
      <c r="J318" s="11" t="s">
        <v>13</v>
      </c>
      <c r="K318">
        <v>0</v>
      </c>
      <c r="L318">
        <v>0</v>
      </c>
    </row>
    <row r="319" spans="1:12" x14ac:dyDescent="0.3">
      <c r="A319" s="11" t="s">
        <v>8</v>
      </c>
      <c r="B319" s="11" t="s">
        <v>14</v>
      </c>
      <c r="C319" s="11" t="s">
        <v>41</v>
      </c>
      <c r="D319">
        <v>34</v>
      </c>
      <c r="E319" s="11" t="s">
        <v>62</v>
      </c>
      <c r="F319" s="11" t="s">
        <v>35</v>
      </c>
      <c r="G319">
        <v>36</v>
      </c>
      <c r="H319" s="11" t="s">
        <v>132</v>
      </c>
      <c r="I319" s="11" t="s">
        <v>147</v>
      </c>
      <c r="J319" s="11" t="s">
        <v>32</v>
      </c>
      <c r="K319">
        <v>0</v>
      </c>
      <c r="L319">
        <v>0</v>
      </c>
    </row>
    <row r="320" spans="1:12" x14ac:dyDescent="0.3">
      <c r="A320" s="11" t="s">
        <v>46</v>
      </c>
      <c r="B320" s="11" t="s">
        <v>50</v>
      </c>
      <c r="C320" s="11" t="s">
        <v>50</v>
      </c>
      <c r="D320">
        <v>2</v>
      </c>
      <c r="E320" s="11" t="s">
        <v>25</v>
      </c>
      <c r="F320" s="11" t="s">
        <v>12</v>
      </c>
      <c r="G320">
        <v>25</v>
      </c>
      <c r="H320" s="11" t="s">
        <v>132</v>
      </c>
      <c r="I320" s="11" t="s">
        <v>147</v>
      </c>
      <c r="J320" s="11" t="s">
        <v>13</v>
      </c>
      <c r="K320">
        <v>0</v>
      </c>
      <c r="L320">
        <v>0</v>
      </c>
    </row>
    <row r="321" spans="1:12" x14ac:dyDescent="0.3">
      <c r="A321" s="11" t="s">
        <v>8</v>
      </c>
      <c r="B321" s="11" t="s">
        <v>14</v>
      </c>
      <c r="C321" s="11" t="s">
        <v>71</v>
      </c>
      <c r="D321">
        <v>23</v>
      </c>
      <c r="E321" s="11" t="s">
        <v>25</v>
      </c>
      <c r="F321" s="11" t="s">
        <v>12</v>
      </c>
      <c r="G321">
        <v>43</v>
      </c>
      <c r="H321" s="11" t="s">
        <v>132</v>
      </c>
      <c r="I321" s="11" t="s">
        <v>147</v>
      </c>
      <c r="J321" s="11" t="s">
        <v>28</v>
      </c>
      <c r="K321">
        <v>0</v>
      </c>
      <c r="L321">
        <v>0</v>
      </c>
    </row>
    <row r="322" spans="1:12" x14ac:dyDescent="0.3">
      <c r="A322" s="11" t="s">
        <v>46</v>
      </c>
      <c r="B322" s="11" t="s">
        <v>34</v>
      </c>
      <c r="C322" s="11" t="s">
        <v>34</v>
      </c>
      <c r="D322" t="s">
        <v>24</v>
      </c>
      <c r="E322" s="11" t="s">
        <v>39</v>
      </c>
      <c r="F322" s="11" t="s">
        <v>12</v>
      </c>
      <c r="G322">
        <v>59</v>
      </c>
      <c r="H322" s="11" t="s">
        <v>138</v>
      </c>
      <c r="I322" s="11" t="s">
        <v>147</v>
      </c>
      <c r="J322" s="11" t="s">
        <v>36</v>
      </c>
      <c r="K322">
        <v>0</v>
      </c>
      <c r="L322">
        <v>0</v>
      </c>
    </row>
    <row r="323" spans="1:12" x14ac:dyDescent="0.3">
      <c r="A323" s="11" t="s">
        <v>8</v>
      </c>
      <c r="B323" s="11" t="s">
        <v>64</v>
      </c>
      <c r="C323" s="11" t="s">
        <v>70</v>
      </c>
      <c r="D323">
        <v>247</v>
      </c>
      <c r="E323" s="11" t="s">
        <v>11</v>
      </c>
      <c r="F323" s="11" t="s">
        <v>12</v>
      </c>
      <c r="G323">
        <v>39</v>
      </c>
      <c r="H323" s="11" t="s">
        <v>138</v>
      </c>
      <c r="I323" s="11" t="s">
        <v>147</v>
      </c>
      <c r="J323" s="11" t="s">
        <v>32</v>
      </c>
      <c r="K323">
        <v>1</v>
      </c>
      <c r="L323">
        <v>0</v>
      </c>
    </row>
    <row r="324" spans="1:12" x14ac:dyDescent="0.3">
      <c r="A324" s="11" t="s">
        <v>8</v>
      </c>
      <c r="B324" s="11" t="s">
        <v>9</v>
      </c>
      <c r="C324" s="11" t="s">
        <v>52</v>
      </c>
      <c r="D324">
        <v>912</v>
      </c>
      <c r="E324" s="11" t="s">
        <v>11</v>
      </c>
      <c r="F324" s="11" t="s">
        <v>12</v>
      </c>
      <c r="G324">
        <v>63</v>
      </c>
      <c r="H324" s="11" t="s">
        <v>137</v>
      </c>
      <c r="I324" s="11" t="s">
        <v>147</v>
      </c>
      <c r="J324" s="11" t="s">
        <v>49</v>
      </c>
      <c r="K324">
        <v>0</v>
      </c>
      <c r="L324">
        <v>0</v>
      </c>
    </row>
    <row r="325" spans="1:12" x14ac:dyDescent="0.3">
      <c r="A325" s="11" t="s">
        <v>38</v>
      </c>
      <c r="B325" s="11" t="s">
        <v>14</v>
      </c>
      <c r="C325" s="11" t="s">
        <v>119</v>
      </c>
      <c r="D325">
        <v>2</v>
      </c>
      <c r="E325" s="11" t="s">
        <v>39</v>
      </c>
      <c r="F325" s="11" t="s">
        <v>12</v>
      </c>
      <c r="G325">
        <v>33</v>
      </c>
      <c r="H325" s="11" t="s">
        <v>137</v>
      </c>
      <c r="I325" s="11" t="s">
        <v>147</v>
      </c>
      <c r="J325" s="11" t="s">
        <v>21</v>
      </c>
      <c r="K325">
        <v>0</v>
      </c>
      <c r="L325">
        <v>0</v>
      </c>
    </row>
    <row r="326" spans="1:12" x14ac:dyDescent="0.3">
      <c r="A326" s="11" t="s">
        <v>166</v>
      </c>
      <c r="B326" s="11" t="s">
        <v>64</v>
      </c>
      <c r="C326" s="11" t="s">
        <v>70</v>
      </c>
      <c r="D326">
        <v>32</v>
      </c>
      <c r="E326" s="11" t="s">
        <v>158</v>
      </c>
      <c r="F326" s="11" t="s">
        <v>12</v>
      </c>
      <c r="G326">
        <v>38</v>
      </c>
      <c r="H326" s="11" t="s">
        <v>136</v>
      </c>
      <c r="I326" s="11" t="s">
        <v>147</v>
      </c>
      <c r="J326" s="11" t="s">
        <v>32</v>
      </c>
      <c r="K326">
        <v>0</v>
      </c>
      <c r="L326">
        <v>0</v>
      </c>
    </row>
    <row r="327" spans="1:12" x14ac:dyDescent="0.3">
      <c r="A327" s="11" t="s">
        <v>166</v>
      </c>
      <c r="B327" s="11" t="s">
        <v>34</v>
      </c>
      <c r="C327" s="11" t="s">
        <v>84</v>
      </c>
      <c r="D327">
        <v>2</v>
      </c>
      <c r="E327" s="11" t="s">
        <v>158</v>
      </c>
      <c r="F327" s="11" t="s">
        <v>12</v>
      </c>
      <c r="G327">
        <v>66</v>
      </c>
      <c r="H327" s="11" t="s">
        <v>136</v>
      </c>
      <c r="I327" s="11" t="s">
        <v>147</v>
      </c>
      <c r="J327" s="11" t="s">
        <v>27</v>
      </c>
      <c r="K327">
        <v>0</v>
      </c>
      <c r="L327">
        <v>0</v>
      </c>
    </row>
    <row r="328" spans="1:12" x14ac:dyDescent="0.3">
      <c r="A328" s="11" t="s">
        <v>87</v>
      </c>
      <c r="B328" s="11" t="s">
        <v>29</v>
      </c>
      <c r="C328" s="11" t="s">
        <v>48</v>
      </c>
      <c r="D328">
        <v>142</v>
      </c>
      <c r="E328" s="11" t="s">
        <v>11</v>
      </c>
      <c r="F328" s="11" t="s">
        <v>12</v>
      </c>
      <c r="G328">
        <v>19</v>
      </c>
      <c r="H328" s="11" t="s">
        <v>135</v>
      </c>
      <c r="I328" s="11" t="s">
        <v>147</v>
      </c>
      <c r="J328" s="11" t="s">
        <v>31</v>
      </c>
      <c r="K328">
        <v>0</v>
      </c>
      <c r="L328">
        <v>1</v>
      </c>
    </row>
    <row r="329" spans="1:12" x14ac:dyDescent="0.3">
      <c r="A329" s="11" t="s">
        <v>38</v>
      </c>
      <c r="B329" s="11" t="s">
        <v>64</v>
      </c>
      <c r="C329" s="11" t="s">
        <v>120</v>
      </c>
      <c r="D329">
        <v>32</v>
      </c>
      <c r="E329" s="11" t="s">
        <v>39</v>
      </c>
      <c r="F329" s="11" t="s">
        <v>12</v>
      </c>
      <c r="G329">
        <v>37</v>
      </c>
      <c r="H329" s="11" t="s">
        <v>135</v>
      </c>
      <c r="I329" s="11" t="s">
        <v>147</v>
      </c>
      <c r="J329" s="11" t="s">
        <v>32</v>
      </c>
      <c r="K329">
        <v>0</v>
      </c>
      <c r="L329">
        <v>0</v>
      </c>
    </row>
    <row r="330" spans="1:12" x14ac:dyDescent="0.3">
      <c r="A330" s="11" t="s">
        <v>8</v>
      </c>
      <c r="B330" s="11" t="s">
        <v>34</v>
      </c>
      <c r="C330" s="11" t="s">
        <v>78</v>
      </c>
      <c r="D330">
        <v>121</v>
      </c>
      <c r="E330" s="11" t="s">
        <v>11</v>
      </c>
      <c r="F330" s="11" t="s">
        <v>12</v>
      </c>
      <c r="G330">
        <v>27</v>
      </c>
      <c r="H330" s="11" t="s">
        <v>135</v>
      </c>
      <c r="I330" s="11" t="s">
        <v>147</v>
      </c>
      <c r="J330" s="11" t="s">
        <v>13</v>
      </c>
      <c r="K330">
        <v>0</v>
      </c>
      <c r="L330">
        <v>0</v>
      </c>
    </row>
    <row r="331" spans="1:12" x14ac:dyDescent="0.3">
      <c r="A331" s="11" t="s">
        <v>166</v>
      </c>
      <c r="B331" s="11" t="s">
        <v>64</v>
      </c>
      <c r="C331" s="11" t="s">
        <v>70</v>
      </c>
      <c r="D331">
        <v>247</v>
      </c>
      <c r="E331" s="11" t="s">
        <v>39</v>
      </c>
      <c r="F331" s="11" t="s">
        <v>12</v>
      </c>
      <c r="G331">
        <v>44</v>
      </c>
      <c r="H331" s="11" t="s">
        <v>135</v>
      </c>
      <c r="I331" s="11" t="s">
        <v>147</v>
      </c>
      <c r="J331" s="11" t="s">
        <v>28</v>
      </c>
      <c r="K331">
        <v>0</v>
      </c>
      <c r="L331">
        <v>0</v>
      </c>
    </row>
    <row r="332" spans="1:12" x14ac:dyDescent="0.3">
      <c r="A332" s="11" t="s">
        <v>38</v>
      </c>
      <c r="B332" s="11" t="s">
        <v>9</v>
      </c>
      <c r="C332" s="11" t="s">
        <v>23</v>
      </c>
      <c r="D332">
        <v>21</v>
      </c>
      <c r="E332" s="11" t="s">
        <v>121</v>
      </c>
      <c r="F332" s="11" t="s">
        <v>35</v>
      </c>
      <c r="G332">
        <v>22</v>
      </c>
      <c r="H332" s="11" t="s">
        <v>135</v>
      </c>
      <c r="I332" s="11" t="s">
        <v>147</v>
      </c>
      <c r="J332" s="11" t="s">
        <v>17</v>
      </c>
      <c r="K332">
        <v>0</v>
      </c>
      <c r="L332">
        <v>0</v>
      </c>
    </row>
    <row r="333" spans="1:12" x14ac:dyDescent="0.3">
      <c r="A333" s="11" t="s">
        <v>8</v>
      </c>
      <c r="B333" s="11" t="s">
        <v>29</v>
      </c>
      <c r="C333" s="11" t="s">
        <v>29</v>
      </c>
      <c r="D333">
        <v>1</v>
      </c>
      <c r="E333" s="11" t="s">
        <v>11</v>
      </c>
      <c r="F333" s="11" t="s">
        <v>12</v>
      </c>
      <c r="G333">
        <v>44</v>
      </c>
      <c r="H333" s="11" t="s">
        <v>134</v>
      </c>
      <c r="I333" s="11" t="s">
        <v>147</v>
      </c>
      <c r="J333" s="11" t="s">
        <v>28</v>
      </c>
      <c r="K333">
        <v>0</v>
      </c>
      <c r="L333">
        <v>0</v>
      </c>
    </row>
    <row r="334" spans="1:12" x14ac:dyDescent="0.3">
      <c r="A334" s="11" t="s">
        <v>8</v>
      </c>
      <c r="B334" s="11" t="s">
        <v>40</v>
      </c>
      <c r="C334" s="11" t="s">
        <v>40</v>
      </c>
      <c r="D334">
        <v>1</v>
      </c>
      <c r="E334" s="11" t="s">
        <v>11</v>
      </c>
      <c r="F334" s="11" t="s">
        <v>12</v>
      </c>
      <c r="G334">
        <v>28</v>
      </c>
      <c r="H334" s="11" t="s">
        <v>134</v>
      </c>
      <c r="I334" s="11" t="s">
        <v>147</v>
      </c>
      <c r="J334" s="11" t="s">
        <v>13</v>
      </c>
      <c r="K334">
        <v>0</v>
      </c>
      <c r="L334">
        <v>0</v>
      </c>
    </row>
    <row r="335" spans="1:12" x14ac:dyDescent="0.3">
      <c r="A335" s="11" t="s">
        <v>166</v>
      </c>
      <c r="B335" s="11" t="s">
        <v>40</v>
      </c>
      <c r="C335" s="11" t="s">
        <v>86</v>
      </c>
      <c r="D335">
        <v>229</v>
      </c>
      <c r="E335" s="11" t="s">
        <v>39</v>
      </c>
      <c r="F335" s="11" t="s">
        <v>12</v>
      </c>
      <c r="G335">
        <v>43</v>
      </c>
      <c r="H335" s="11" t="s">
        <v>132</v>
      </c>
      <c r="I335" s="11" t="s">
        <v>147</v>
      </c>
      <c r="J335" s="11" t="s">
        <v>28</v>
      </c>
      <c r="K335">
        <v>0</v>
      </c>
      <c r="L335">
        <v>0</v>
      </c>
    </row>
    <row r="336" spans="1:12" x14ac:dyDescent="0.3">
      <c r="A336" s="11" t="s">
        <v>8</v>
      </c>
      <c r="B336" s="11" t="s">
        <v>40</v>
      </c>
      <c r="C336" s="11" t="s">
        <v>122</v>
      </c>
      <c r="D336">
        <v>4</v>
      </c>
      <c r="E336" s="11" t="s">
        <v>11</v>
      </c>
      <c r="F336" s="11" t="s">
        <v>12</v>
      </c>
      <c r="G336">
        <v>50</v>
      </c>
      <c r="H336" s="11" t="s">
        <v>132</v>
      </c>
      <c r="I336" s="11" t="s">
        <v>147</v>
      </c>
      <c r="J336" s="11" t="s">
        <v>60</v>
      </c>
      <c r="K336">
        <v>1</v>
      </c>
      <c r="L336">
        <v>0</v>
      </c>
    </row>
    <row r="337" spans="1:12" x14ac:dyDescent="0.3">
      <c r="A337" s="11" t="s">
        <v>38</v>
      </c>
      <c r="B337" s="11" t="s">
        <v>34</v>
      </c>
      <c r="C337" s="11" t="s">
        <v>44</v>
      </c>
      <c r="D337">
        <v>2</v>
      </c>
      <c r="E337" s="11" t="s">
        <v>39</v>
      </c>
      <c r="F337" s="11" t="s">
        <v>12</v>
      </c>
      <c r="G337">
        <v>33</v>
      </c>
      <c r="H337" s="11" t="s">
        <v>132</v>
      </c>
      <c r="I337" s="11" t="s">
        <v>147</v>
      </c>
      <c r="J337" s="11" t="s">
        <v>21</v>
      </c>
      <c r="K337">
        <v>0</v>
      </c>
      <c r="L337">
        <v>0</v>
      </c>
    </row>
    <row r="338" spans="1:12" x14ac:dyDescent="0.3">
      <c r="A338" s="11" t="s">
        <v>38</v>
      </c>
      <c r="B338" s="11" t="s">
        <v>29</v>
      </c>
      <c r="C338" s="11" t="s">
        <v>48</v>
      </c>
      <c r="D338">
        <v>250</v>
      </c>
      <c r="E338" s="11" t="s">
        <v>39</v>
      </c>
      <c r="F338" s="11" t="s">
        <v>12</v>
      </c>
      <c r="G338">
        <v>42</v>
      </c>
      <c r="H338" s="11" t="s">
        <v>132</v>
      </c>
      <c r="I338" s="11" t="s">
        <v>147</v>
      </c>
      <c r="J338" s="11" t="s">
        <v>28</v>
      </c>
      <c r="K338">
        <v>0</v>
      </c>
      <c r="L338">
        <v>0</v>
      </c>
    </row>
    <row r="339" spans="1:12" x14ac:dyDescent="0.3">
      <c r="A339" s="11" t="s">
        <v>38</v>
      </c>
      <c r="B339" s="11" t="s">
        <v>64</v>
      </c>
      <c r="C339" s="11" t="s">
        <v>70</v>
      </c>
      <c r="D339" t="s">
        <v>24</v>
      </c>
      <c r="E339" s="11" t="s">
        <v>39</v>
      </c>
      <c r="F339" s="11" t="s">
        <v>12</v>
      </c>
      <c r="G339">
        <v>67</v>
      </c>
      <c r="H339" s="11" t="s">
        <v>132</v>
      </c>
      <c r="I339" s="11" t="s">
        <v>147</v>
      </c>
      <c r="J339" s="11" t="s">
        <v>27</v>
      </c>
      <c r="K339">
        <v>0</v>
      </c>
      <c r="L339">
        <v>0</v>
      </c>
    </row>
    <row r="340" spans="1:12" x14ac:dyDescent="0.3">
      <c r="A340" s="11" t="s">
        <v>22</v>
      </c>
      <c r="B340" s="11" t="s">
        <v>40</v>
      </c>
      <c r="C340" s="11" t="s">
        <v>86</v>
      </c>
      <c r="D340" t="s">
        <v>24</v>
      </c>
      <c r="E340" s="11" t="s">
        <v>39</v>
      </c>
      <c r="F340" s="11" t="s">
        <v>12</v>
      </c>
      <c r="G340">
        <v>25</v>
      </c>
      <c r="H340" s="11" t="s">
        <v>132</v>
      </c>
      <c r="I340" s="11" t="s">
        <v>147</v>
      </c>
      <c r="J340" s="11" t="s">
        <v>13</v>
      </c>
      <c r="K340">
        <v>0</v>
      </c>
      <c r="L340">
        <v>0</v>
      </c>
    </row>
    <row r="341" spans="1:12" x14ac:dyDescent="0.3">
      <c r="A341" s="11" t="s">
        <v>22</v>
      </c>
      <c r="B341" s="11" t="s">
        <v>14</v>
      </c>
      <c r="C341" s="11" t="s">
        <v>88</v>
      </c>
      <c r="D341">
        <v>238</v>
      </c>
      <c r="E341" s="11" t="s">
        <v>16</v>
      </c>
      <c r="F341" s="11" t="s">
        <v>12</v>
      </c>
      <c r="G341">
        <v>37</v>
      </c>
      <c r="H341" s="11" t="s">
        <v>138</v>
      </c>
      <c r="I341" s="11" t="s">
        <v>147</v>
      </c>
      <c r="J341" s="11" t="s">
        <v>32</v>
      </c>
      <c r="K341">
        <v>0</v>
      </c>
      <c r="L341">
        <v>0</v>
      </c>
    </row>
    <row r="342" spans="1:12" x14ac:dyDescent="0.3">
      <c r="A342" s="11" t="s">
        <v>8</v>
      </c>
      <c r="B342" s="11" t="s">
        <v>14</v>
      </c>
      <c r="C342" s="11" t="s">
        <v>67</v>
      </c>
      <c r="D342">
        <v>613</v>
      </c>
      <c r="E342" s="11" t="s">
        <v>11</v>
      </c>
      <c r="F342" s="11" t="s">
        <v>12</v>
      </c>
      <c r="G342">
        <v>40</v>
      </c>
      <c r="H342" s="11" t="s">
        <v>138</v>
      </c>
      <c r="I342" s="11" t="s">
        <v>147</v>
      </c>
      <c r="J342" s="11" t="s">
        <v>28</v>
      </c>
      <c r="K342">
        <v>1</v>
      </c>
      <c r="L342">
        <v>0</v>
      </c>
    </row>
    <row r="343" spans="1:12" x14ac:dyDescent="0.3">
      <c r="A343" s="11" t="s">
        <v>166</v>
      </c>
      <c r="B343" s="11" t="s">
        <v>34</v>
      </c>
      <c r="C343" s="11" t="s">
        <v>109</v>
      </c>
      <c r="D343">
        <v>102</v>
      </c>
      <c r="E343" s="11" t="s">
        <v>158</v>
      </c>
      <c r="F343" s="11" t="s">
        <v>35</v>
      </c>
      <c r="G343">
        <v>52</v>
      </c>
      <c r="H343" s="11" t="s">
        <v>138</v>
      </c>
      <c r="I343" s="11" t="s">
        <v>147</v>
      </c>
      <c r="J343" s="11" t="s">
        <v>60</v>
      </c>
      <c r="K343">
        <v>0</v>
      </c>
      <c r="L343">
        <v>0</v>
      </c>
    </row>
    <row r="344" spans="1:12" x14ac:dyDescent="0.3">
      <c r="A344" s="11" t="s">
        <v>46</v>
      </c>
      <c r="B344" s="11" t="s">
        <v>29</v>
      </c>
      <c r="C344" s="11" t="s">
        <v>103</v>
      </c>
      <c r="D344">
        <v>4</v>
      </c>
      <c r="E344" s="11" t="s">
        <v>25</v>
      </c>
      <c r="F344" s="11" t="s">
        <v>12</v>
      </c>
      <c r="G344">
        <v>63</v>
      </c>
      <c r="H344" s="11" t="s">
        <v>138</v>
      </c>
      <c r="I344" s="11" t="s">
        <v>147</v>
      </c>
      <c r="J344" s="11" t="s">
        <v>49</v>
      </c>
      <c r="K344">
        <v>0</v>
      </c>
      <c r="L344">
        <v>0</v>
      </c>
    </row>
    <row r="345" spans="1:12" x14ac:dyDescent="0.3">
      <c r="A345" s="11" t="s">
        <v>166</v>
      </c>
      <c r="B345" s="11" t="s">
        <v>40</v>
      </c>
      <c r="C345" s="11" t="s">
        <v>123</v>
      </c>
      <c r="D345">
        <v>1</v>
      </c>
      <c r="E345" s="11" t="s">
        <v>158</v>
      </c>
      <c r="F345" s="11" t="s">
        <v>12</v>
      </c>
      <c r="G345">
        <v>48</v>
      </c>
      <c r="H345" s="11" t="s">
        <v>137</v>
      </c>
      <c r="I345" s="11" t="s">
        <v>147</v>
      </c>
      <c r="J345" s="11" t="s">
        <v>19</v>
      </c>
      <c r="K345">
        <v>0</v>
      </c>
      <c r="L345">
        <v>0</v>
      </c>
    </row>
    <row r="346" spans="1:12" x14ac:dyDescent="0.3">
      <c r="A346" s="11" t="s">
        <v>166</v>
      </c>
      <c r="B346" s="11" t="s">
        <v>34</v>
      </c>
      <c r="C346" s="11" t="s">
        <v>84</v>
      </c>
      <c r="D346">
        <v>2</v>
      </c>
      <c r="E346" s="11" t="s">
        <v>158</v>
      </c>
      <c r="F346" s="11" t="s">
        <v>35</v>
      </c>
      <c r="G346">
        <v>78</v>
      </c>
      <c r="H346" s="11" t="s">
        <v>135</v>
      </c>
      <c r="I346" s="11" t="s">
        <v>147</v>
      </c>
      <c r="J346" s="11" t="s">
        <v>42</v>
      </c>
      <c r="K346">
        <v>0</v>
      </c>
      <c r="L346">
        <v>0</v>
      </c>
    </row>
    <row r="347" spans="1:12" x14ac:dyDescent="0.3">
      <c r="A347" s="11" t="s">
        <v>8</v>
      </c>
      <c r="B347" s="11" t="s">
        <v>9</v>
      </c>
      <c r="C347" s="11" t="s">
        <v>20</v>
      </c>
      <c r="D347" t="s">
        <v>24</v>
      </c>
      <c r="E347" s="11" t="s">
        <v>62</v>
      </c>
      <c r="F347" s="11" t="s">
        <v>12</v>
      </c>
      <c r="G347">
        <v>45</v>
      </c>
      <c r="H347" s="11" t="s">
        <v>134</v>
      </c>
      <c r="I347" s="11" t="s">
        <v>147</v>
      </c>
      <c r="J347" s="11" t="s">
        <v>19</v>
      </c>
      <c r="K347">
        <v>0</v>
      </c>
      <c r="L347">
        <v>0</v>
      </c>
    </row>
    <row r="348" spans="1:12" x14ac:dyDescent="0.3">
      <c r="A348" s="11" t="s">
        <v>166</v>
      </c>
      <c r="B348" s="11" t="s">
        <v>29</v>
      </c>
      <c r="C348" s="11" t="s">
        <v>105</v>
      </c>
      <c r="D348" t="s">
        <v>24</v>
      </c>
      <c r="E348" s="11" t="s">
        <v>158</v>
      </c>
      <c r="F348" s="11" t="s">
        <v>12</v>
      </c>
      <c r="G348">
        <v>64</v>
      </c>
      <c r="H348" s="11" t="s">
        <v>133</v>
      </c>
      <c r="I348" s="11" t="s">
        <v>147</v>
      </c>
      <c r="J348" s="11" t="s">
        <v>49</v>
      </c>
      <c r="K348">
        <v>0</v>
      </c>
      <c r="L348">
        <v>0</v>
      </c>
    </row>
    <row r="349" spans="1:12" x14ac:dyDescent="0.3">
      <c r="A349" s="11" t="s">
        <v>8</v>
      </c>
      <c r="B349" s="11" t="s">
        <v>29</v>
      </c>
      <c r="C349" s="11" t="s">
        <v>30</v>
      </c>
      <c r="D349">
        <v>27</v>
      </c>
      <c r="E349" s="11" t="s">
        <v>62</v>
      </c>
      <c r="F349" s="11" t="s">
        <v>35</v>
      </c>
      <c r="G349">
        <v>34</v>
      </c>
      <c r="H349" s="11" t="s">
        <v>132</v>
      </c>
      <c r="I349" s="11" t="s">
        <v>147</v>
      </c>
      <c r="J349" s="11" t="s">
        <v>21</v>
      </c>
      <c r="K349">
        <v>0</v>
      </c>
      <c r="L349">
        <v>0</v>
      </c>
    </row>
    <row r="350" spans="1:12" x14ac:dyDescent="0.3">
      <c r="A350" s="11" t="s">
        <v>38</v>
      </c>
      <c r="B350" s="11" t="s">
        <v>64</v>
      </c>
      <c r="C350" s="11" t="s">
        <v>101</v>
      </c>
      <c r="D350">
        <v>806</v>
      </c>
      <c r="E350" s="11" t="s">
        <v>11</v>
      </c>
      <c r="F350" s="11" t="s">
        <v>35</v>
      </c>
      <c r="G350">
        <v>24</v>
      </c>
      <c r="H350" s="11" t="s">
        <v>132</v>
      </c>
      <c r="I350" s="11" t="s">
        <v>147</v>
      </c>
      <c r="J350" s="11" t="s">
        <v>17</v>
      </c>
      <c r="K350">
        <v>1</v>
      </c>
      <c r="L350">
        <v>0</v>
      </c>
    </row>
    <row r="351" spans="1:12" x14ac:dyDescent="0.3">
      <c r="A351" s="11" t="s">
        <v>166</v>
      </c>
      <c r="B351" s="11" t="s">
        <v>14</v>
      </c>
      <c r="C351" s="11" t="s">
        <v>14</v>
      </c>
      <c r="D351">
        <v>17</v>
      </c>
      <c r="E351" s="11" t="s">
        <v>158</v>
      </c>
      <c r="F351" s="11" t="s">
        <v>12</v>
      </c>
      <c r="G351">
        <v>20</v>
      </c>
      <c r="H351" s="11" t="s">
        <v>138</v>
      </c>
      <c r="I351" s="11" t="s">
        <v>147</v>
      </c>
      <c r="J351" s="11" t="s">
        <v>17</v>
      </c>
      <c r="K351">
        <v>0</v>
      </c>
      <c r="L351">
        <v>0</v>
      </c>
    </row>
    <row r="352" spans="1:12" x14ac:dyDescent="0.3">
      <c r="A352" s="11" t="s">
        <v>8</v>
      </c>
      <c r="B352" s="11" t="s">
        <v>64</v>
      </c>
      <c r="C352" s="11" t="s">
        <v>70</v>
      </c>
      <c r="D352">
        <v>247</v>
      </c>
      <c r="E352" s="11" t="s">
        <v>11</v>
      </c>
      <c r="F352" s="11" t="s">
        <v>12</v>
      </c>
      <c r="G352">
        <v>18</v>
      </c>
      <c r="H352" s="11" t="s">
        <v>138</v>
      </c>
      <c r="I352" s="11" t="s">
        <v>147</v>
      </c>
      <c r="J352" s="11" t="s">
        <v>31</v>
      </c>
      <c r="K352">
        <v>1</v>
      </c>
      <c r="L352">
        <v>1</v>
      </c>
    </row>
    <row r="353" spans="1:12" x14ac:dyDescent="0.3">
      <c r="A353" s="11" t="s">
        <v>8</v>
      </c>
      <c r="B353" s="11" t="s">
        <v>64</v>
      </c>
      <c r="C353" s="11" t="s">
        <v>70</v>
      </c>
      <c r="D353" t="s">
        <v>24</v>
      </c>
      <c r="E353" s="11" t="s">
        <v>11</v>
      </c>
      <c r="F353" s="11" t="s">
        <v>12</v>
      </c>
      <c r="G353">
        <v>26</v>
      </c>
      <c r="H353" s="11" t="s">
        <v>138</v>
      </c>
      <c r="I353" s="11" t="s">
        <v>147</v>
      </c>
      <c r="J353" s="11" t="s">
        <v>13</v>
      </c>
      <c r="K353">
        <v>1</v>
      </c>
      <c r="L353">
        <v>0</v>
      </c>
    </row>
    <row r="354" spans="1:12" x14ac:dyDescent="0.3">
      <c r="A354" s="11" t="s">
        <v>8</v>
      </c>
      <c r="B354" s="11" t="s">
        <v>64</v>
      </c>
      <c r="C354" s="11" t="s">
        <v>70</v>
      </c>
      <c r="D354" t="s">
        <v>24</v>
      </c>
      <c r="E354" s="11" t="s">
        <v>11</v>
      </c>
      <c r="F354" s="11" t="s">
        <v>12</v>
      </c>
      <c r="G354">
        <v>21</v>
      </c>
      <c r="H354" s="11" t="s">
        <v>138</v>
      </c>
      <c r="I354" s="11" t="s">
        <v>147</v>
      </c>
      <c r="J354" s="11" t="s">
        <v>17</v>
      </c>
      <c r="K354">
        <v>1</v>
      </c>
      <c r="L354">
        <v>0</v>
      </c>
    </row>
    <row r="355" spans="1:12" x14ac:dyDescent="0.3">
      <c r="A355" s="11" t="s">
        <v>8</v>
      </c>
      <c r="B355" s="11" t="s">
        <v>9</v>
      </c>
      <c r="C355" s="11" t="s">
        <v>10</v>
      </c>
      <c r="D355">
        <v>152</v>
      </c>
      <c r="E355" s="11" t="s">
        <v>11</v>
      </c>
      <c r="F355" s="11" t="s">
        <v>12</v>
      </c>
      <c r="G355">
        <v>27</v>
      </c>
      <c r="H355" s="11" t="s">
        <v>136</v>
      </c>
      <c r="I355" s="11" t="s">
        <v>148</v>
      </c>
      <c r="J355" s="11" t="s">
        <v>13</v>
      </c>
      <c r="K355">
        <v>0</v>
      </c>
      <c r="L355">
        <v>0</v>
      </c>
    </row>
    <row r="356" spans="1:12" x14ac:dyDescent="0.3">
      <c r="A356" s="11" t="s">
        <v>8</v>
      </c>
      <c r="B356" s="11" t="s">
        <v>34</v>
      </c>
      <c r="C356" s="11" t="s">
        <v>34</v>
      </c>
      <c r="D356" t="s">
        <v>24</v>
      </c>
      <c r="E356" s="11" t="s">
        <v>11</v>
      </c>
      <c r="F356" s="11" t="s">
        <v>12</v>
      </c>
      <c r="G356">
        <v>40</v>
      </c>
      <c r="H356" s="11" t="s">
        <v>135</v>
      </c>
      <c r="I356" s="11" t="s">
        <v>148</v>
      </c>
      <c r="J356" s="11" t="s">
        <v>28</v>
      </c>
      <c r="K356">
        <v>0</v>
      </c>
      <c r="L356">
        <v>0</v>
      </c>
    </row>
    <row r="357" spans="1:12" x14ac:dyDescent="0.3">
      <c r="A357" s="11" t="s">
        <v>22</v>
      </c>
      <c r="B357" s="11" t="s">
        <v>14</v>
      </c>
      <c r="C357" s="11" t="s">
        <v>45</v>
      </c>
      <c r="D357">
        <v>2</v>
      </c>
      <c r="E357" s="11" t="s">
        <v>25</v>
      </c>
      <c r="F357" s="11" t="s">
        <v>12</v>
      </c>
      <c r="G357">
        <v>31</v>
      </c>
      <c r="H357" s="11" t="s">
        <v>134</v>
      </c>
      <c r="I357" s="11" t="s">
        <v>148</v>
      </c>
      <c r="J357" s="11" t="s">
        <v>21</v>
      </c>
      <c r="K357">
        <v>0</v>
      </c>
      <c r="L357">
        <v>0</v>
      </c>
    </row>
    <row r="358" spans="1:12" x14ac:dyDescent="0.3">
      <c r="A358" s="11" t="s">
        <v>166</v>
      </c>
      <c r="B358" s="11" t="s">
        <v>29</v>
      </c>
      <c r="C358" s="11" t="s">
        <v>29</v>
      </c>
      <c r="D358" t="s">
        <v>24</v>
      </c>
      <c r="E358" s="11" t="s">
        <v>158</v>
      </c>
      <c r="F358" s="11" t="s">
        <v>12</v>
      </c>
      <c r="G358">
        <v>44</v>
      </c>
      <c r="H358" s="11" t="s">
        <v>134</v>
      </c>
      <c r="I358" s="11" t="s">
        <v>148</v>
      </c>
      <c r="J358" s="11" t="s">
        <v>28</v>
      </c>
      <c r="K358">
        <v>0</v>
      </c>
      <c r="L358">
        <v>0</v>
      </c>
    </row>
    <row r="359" spans="1:12" x14ac:dyDescent="0.3">
      <c r="A359" s="11" t="s">
        <v>8</v>
      </c>
      <c r="B359" s="11" t="s">
        <v>14</v>
      </c>
      <c r="C359" s="11" t="s">
        <v>90</v>
      </c>
      <c r="D359">
        <v>1</v>
      </c>
      <c r="E359" s="11" t="s">
        <v>62</v>
      </c>
      <c r="F359" s="11" t="s">
        <v>12</v>
      </c>
      <c r="G359">
        <v>27</v>
      </c>
      <c r="H359" s="11" t="s">
        <v>134</v>
      </c>
      <c r="I359" s="11" t="s">
        <v>148</v>
      </c>
      <c r="J359" s="11" t="s">
        <v>13</v>
      </c>
      <c r="K359">
        <v>0</v>
      </c>
      <c r="L359">
        <v>0</v>
      </c>
    </row>
    <row r="360" spans="1:12" x14ac:dyDescent="0.3">
      <c r="A360" s="11" t="s">
        <v>166</v>
      </c>
      <c r="B360" s="11" t="s">
        <v>64</v>
      </c>
      <c r="C360" s="11" t="s">
        <v>101</v>
      </c>
      <c r="D360" t="s">
        <v>24</v>
      </c>
      <c r="E360" s="11" t="s">
        <v>158</v>
      </c>
      <c r="F360" s="11" t="s">
        <v>12</v>
      </c>
      <c r="G360">
        <v>21</v>
      </c>
      <c r="H360" s="11" t="s">
        <v>133</v>
      </c>
      <c r="I360" s="11" t="s">
        <v>148</v>
      </c>
      <c r="J360" s="11" t="s">
        <v>17</v>
      </c>
      <c r="K360">
        <v>0</v>
      </c>
      <c r="L360">
        <v>0</v>
      </c>
    </row>
    <row r="361" spans="1:12" x14ac:dyDescent="0.3">
      <c r="A361" s="11" t="s">
        <v>8</v>
      </c>
      <c r="B361" s="11" t="s">
        <v>29</v>
      </c>
      <c r="C361" s="11" t="s">
        <v>29</v>
      </c>
      <c r="D361">
        <v>27</v>
      </c>
      <c r="E361" s="11" t="s">
        <v>25</v>
      </c>
      <c r="F361" s="11" t="s">
        <v>12</v>
      </c>
      <c r="G361">
        <v>40</v>
      </c>
      <c r="H361" s="11" t="s">
        <v>133</v>
      </c>
      <c r="I361" s="11" t="s">
        <v>148</v>
      </c>
      <c r="J361" s="11" t="s">
        <v>28</v>
      </c>
      <c r="K361">
        <v>0</v>
      </c>
      <c r="L361">
        <v>0</v>
      </c>
    </row>
    <row r="362" spans="1:12" x14ac:dyDescent="0.3">
      <c r="A362" s="11" t="s">
        <v>8</v>
      </c>
      <c r="B362" s="11" t="s">
        <v>29</v>
      </c>
      <c r="C362" s="11" t="s">
        <v>57</v>
      </c>
      <c r="D362">
        <v>35</v>
      </c>
      <c r="E362" s="11" t="s">
        <v>11</v>
      </c>
      <c r="F362" s="11" t="s">
        <v>12</v>
      </c>
      <c r="G362">
        <v>48</v>
      </c>
      <c r="H362" s="11" t="s">
        <v>132</v>
      </c>
      <c r="I362" s="11" t="s">
        <v>148</v>
      </c>
      <c r="J362" s="11" t="s">
        <v>19</v>
      </c>
      <c r="K362">
        <v>1</v>
      </c>
      <c r="L362">
        <v>0</v>
      </c>
    </row>
    <row r="363" spans="1:12" x14ac:dyDescent="0.3">
      <c r="A363" s="11" t="s">
        <v>8</v>
      </c>
      <c r="B363" s="11" t="s">
        <v>29</v>
      </c>
      <c r="C363" s="11" t="s">
        <v>57</v>
      </c>
      <c r="D363">
        <v>35</v>
      </c>
      <c r="E363" s="11" t="s">
        <v>11</v>
      </c>
      <c r="F363" s="11" t="s">
        <v>12</v>
      </c>
      <c r="G363">
        <v>20</v>
      </c>
      <c r="H363" s="11" t="s">
        <v>132</v>
      </c>
      <c r="I363" s="11" t="s">
        <v>148</v>
      </c>
      <c r="J363" s="11" t="s">
        <v>17</v>
      </c>
      <c r="K363">
        <v>1</v>
      </c>
      <c r="L363">
        <v>0</v>
      </c>
    </row>
    <row r="364" spans="1:12" x14ac:dyDescent="0.3">
      <c r="A364" s="11" t="s">
        <v>8</v>
      </c>
      <c r="B364" s="11" t="s">
        <v>34</v>
      </c>
      <c r="C364" s="11" t="s">
        <v>34</v>
      </c>
      <c r="D364" t="s">
        <v>24</v>
      </c>
      <c r="E364" s="11" t="s">
        <v>11</v>
      </c>
      <c r="F364" s="11" t="s">
        <v>12</v>
      </c>
      <c r="G364">
        <v>24</v>
      </c>
      <c r="H364" s="11" t="s">
        <v>137</v>
      </c>
      <c r="I364" s="11" t="s">
        <v>148</v>
      </c>
      <c r="J364" s="11" t="s">
        <v>17</v>
      </c>
      <c r="K364">
        <v>0</v>
      </c>
      <c r="L364">
        <v>0</v>
      </c>
    </row>
    <row r="365" spans="1:12" x14ac:dyDescent="0.3">
      <c r="A365" s="11" t="s">
        <v>22</v>
      </c>
      <c r="B365" s="11" t="s">
        <v>29</v>
      </c>
      <c r="C365" s="11" t="s">
        <v>92</v>
      </c>
      <c r="D365">
        <v>141</v>
      </c>
      <c r="E365" s="11" t="s">
        <v>25</v>
      </c>
      <c r="F365" s="11" t="s">
        <v>35</v>
      </c>
      <c r="G365">
        <v>54</v>
      </c>
      <c r="H365" s="11" t="s">
        <v>136</v>
      </c>
      <c r="I365" s="11" t="s">
        <v>148</v>
      </c>
      <c r="J365" s="11" t="s">
        <v>60</v>
      </c>
      <c r="K365">
        <v>0</v>
      </c>
      <c r="L365">
        <v>0</v>
      </c>
    </row>
    <row r="366" spans="1:12" x14ac:dyDescent="0.3">
      <c r="A366" s="11" t="s">
        <v>91</v>
      </c>
      <c r="B366" s="11" t="s">
        <v>34</v>
      </c>
      <c r="C366" s="11" t="s">
        <v>34</v>
      </c>
      <c r="D366" t="s">
        <v>24</v>
      </c>
      <c r="E366" s="11" t="s">
        <v>25</v>
      </c>
      <c r="F366" s="11" t="s">
        <v>12</v>
      </c>
      <c r="G366">
        <v>19</v>
      </c>
      <c r="H366" s="11" t="s">
        <v>136</v>
      </c>
      <c r="I366" s="11" t="s">
        <v>148</v>
      </c>
      <c r="J366" s="11" t="s">
        <v>31</v>
      </c>
      <c r="K366">
        <v>0</v>
      </c>
      <c r="L366">
        <v>0</v>
      </c>
    </row>
    <row r="367" spans="1:12" x14ac:dyDescent="0.3">
      <c r="A367" s="11" t="s">
        <v>166</v>
      </c>
      <c r="B367" s="11" t="s">
        <v>14</v>
      </c>
      <c r="C367" s="11" t="s">
        <v>61</v>
      </c>
      <c r="D367" t="s">
        <v>24</v>
      </c>
      <c r="E367" s="11" t="s">
        <v>158</v>
      </c>
      <c r="F367" s="11" t="s">
        <v>12</v>
      </c>
      <c r="G367">
        <v>52</v>
      </c>
      <c r="H367" s="11" t="s">
        <v>135</v>
      </c>
      <c r="I367" s="11" t="s">
        <v>148</v>
      </c>
      <c r="J367" s="11" t="s">
        <v>60</v>
      </c>
      <c r="K367">
        <v>0</v>
      </c>
      <c r="L367">
        <v>0</v>
      </c>
    </row>
    <row r="368" spans="1:12" x14ac:dyDescent="0.3">
      <c r="A368" s="11" t="s">
        <v>166</v>
      </c>
      <c r="B368" s="11" t="s">
        <v>14</v>
      </c>
      <c r="C368" s="11" t="s">
        <v>71</v>
      </c>
      <c r="D368">
        <v>27</v>
      </c>
      <c r="E368" s="11" t="s">
        <v>158</v>
      </c>
      <c r="F368" s="11" t="s">
        <v>12</v>
      </c>
      <c r="G368">
        <v>40</v>
      </c>
      <c r="H368" s="11" t="s">
        <v>135</v>
      </c>
      <c r="I368" s="11" t="s">
        <v>148</v>
      </c>
      <c r="J368" s="11" t="s">
        <v>28</v>
      </c>
      <c r="K368">
        <v>0</v>
      </c>
      <c r="L368">
        <v>0</v>
      </c>
    </row>
    <row r="369" spans="1:12" x14ac:dyDescent="0.3">
      <c r="A369" s="11" t="s">
        <v>8</v>
      </c>
      <c r="B369" s="11" t="s">
        <v>29</v>
      </c>
      <c r="C369" s="11" t="s">
        <v>47</v>
      </c>
      <c r="D369">
        <v>135</v>
      </c>
      <c r="E369" s="11" t="s">
        <v>11</v>
      </c>
      <c r="F369" s="11" t="s">
        <v>12</v>
      </c>
      <c r="G369">
        <v>20</v>
      </c>
      <c r="H369" s="11" t="s">
        <v>133</v>
      </c>
      <c r="I369" s="11" t="s">
        <v>148</v>
      </c>
      <c r="J369" s="11" t="s">
        <v>17</v>
      </c>
      <c r="K369">
        <v>0</v>
      </c>
      <c r="L369">
        <v>0</v>
      </c>
    </row>
    <row r="370" spans="1:12" x14ac:dyDescent="0.3">
      <c r="A370" s="11" t="s">
        <v>8</v>
      </c>
      <c r="B370" s="11" t="s">
        <v>14</v>
      </c>
      <c r="C370" s="11" t="s">
        <v>41</v>
      </c>
      <c r="D370">
        <v>34</v>
      </c>
      <c r="E370" s="11" t="s">
        <v>11</v>
      </c>
      <c r="F370" s="11" t="s">
        <v>12</v>
      </c>
      <c r="G370">
        <v>57</v>
      </c>
      <c r="H370" s="11" t="s">
        <v>133</v>
      </c>
      <c r="I370" s="11" t="s">
        <v>148</v>
      </c>
      <c r="J370" s="11" t="s">
        <v>36</v>
      </c>
      <c r="K370">
        <v>0</v>
      </c>
      <c r="L370">
        <v>0</v>
      </c>
    </row>
    <row r="371" spans="1:12" x14ac:dyDescent="0.3">
      <c r="A371" s="11" t="s">
        <v>91</v>
      </c>
      <c r="B371" s="11" t="s">
        <v>34</v>
      </c>
      <c r="C371" s="11" t="s">
        <v>44</v>
      </c>
      <c r="D371" t="s">
        <v>24</v>
      </c>
      <c r="E371" s="11" t="s">
        <v>124</v>
      </c>
      <c r="F371" s="11" t="s">
        <v>12</v>
      </c>
      <c r="G371">
        <v>31</v>
      </c>
      <c r="H371" s="11" t="s">
        <v>133</v>
      </c>
      <c r="I371" s="11" t="s">
        <v>148</v>
      </c>
      <c r="J371" s="11" t="s">
        <v>21</v>
      </c>
      <c r="K371">
        <v>0</v>
      </c>
      <c r="L371">
        <v>0</v>
      </c>
    </row>
    <row r="372" spans="1:12" x14ac:dyDescent="0.3">
      <c r="A372" s="11" t="s">
        <v>166</v>
      </c>
      <c r="B372" s="11" t="s">
        <v>34</v>
      </c>
      <c r="C372" s="11" t="s">
        <v>80</v>
      </c>
      <c r="D372">
        <v>27</v>
      </c>
      <c r="E372" s="11" t="s">
        <v>158</v>
      </c>
      <c r="F372" s="11" t="s">
        <v>12</v>
      </c>
      <c r="G372">
        <v>30</v>
      </c>
      <c r="H372" s="11" t="s">
        <v>132</v>
      </c>
      <c r="I372" s="11" t="s">
        <v>148</v>
      </c>
      <c r="J372" s="11" t="s">
        <v>21</v>
      </c>
      <c r="K372">
        <v>0</v>
      </c>
      <c r="L372">
        <v>0</v>
      </c>
    </row>
    <row r="373" spans="1:12" x14ac:dyDescent="0.3">
      <c r="A373" s="11" t="s">
        <v>166</v>
      </c>
      <c r="B373" s="11" t="s">
        <v>64</v>
      </c>
      <c r="C373" s="11" t="s">
        <v>101</v>
      </c>
      <c r="D373">
        <v>32</v>
      </c>
      <c r="E373" s="11" t="s">
        <v>39</v>
      </c>
      <c r="F373" s="11" t="s">
        <v>12</v>
      </c>
      <c r="G373">
        <v>24</v>
      </c>
      <c r="H373" s="11" t="s">
        <v>138</v>
      </c>
      <c r="I373" s="11" t="s">
        <v>148</v>
      </c>
      <c r="J373" s="11" t="s">
        <v>17</v>
      </c>
      <c r="K373">
        <v>0</v>
      </c>
      <c r="L373">
        <v>0</v>
      </c>
    </row>
    <row r="374" spans="1:12" x14ac:dyDescent="0.3">
      <c r="A374" s="11" t="s">
        <v>166</v>
      </c>
      <c r="B374" s="11" t="s">
        <v>9</v>
      </c>
      <c r="C374" s="11" t="s">
        <v>20</v>
      </c>
      <c r="D374">
        <v>917</v>
      </c>
      <c r="E374" s="11" t="s">
        <v>11</v>
      </c>
      <c r="F374" s="11" t="s">
        <v>12</v>
      </c>
      <c r="G374">
        <v>19</v>
      </c>
      <c r="H374" s="11" t="s">
        <v>136</v>
      </c>
      <c r="I374" s="11" t="s">
        <v>148</v>
      </c>
      <c r="J374" s="11" t="s">
        <v>31</v>
      </c>
      <c r="K374">
        <v>0</v>
      </c>
      <c r="L374">
        <v>1</v>
      </c>
    </row>
    <row r="375" spans="1:12" x14ac:dyDescent="0.3">
      <c r="A375" s="11" t="s">
        <v>8</v>
      </c>
      <c r="B375" s="11" t="s">
        <v>40</v>
      </c>
      <c r="C375" s="11" t="s">
        <v>40</v>
      </c>
      <c r="D375">
        <v>1</v>
      </c>
      <c r="E375" s="11" t="s">
        <v>11</v>
      </c>
      <c r="F375" s="11" t="s">
        <v>12</v>
      </c>
      <c r="G375" t="s">
        <v>68</v>
      </c>
      <c r="H375" s="11" t="s">
        <v>136</v>
      </c>
      <c r="I375" s="11" t="s">
        <v>148</v>
      </c>
      <c r="J375" s="11" t="s">
        <v>68</v>
      </c>
      <c r="K375">
        <v>0</v>
      </c>
      <c r="L375">
        <v>0</v>
      </c>
    </row>
    <row r="376" spans="1:12" x14ac:dyDescent="0.3">
      <c r="A376" s="11" t="s">
        <v>38</v>
      </c>
      <c r="B376" s="11" t="s">
        <v>9</v>
      </c>
      <c r="C376" s="11" t="s">
        <v>26</v>
      </c>
      <c r="D376">
        <v>1</v>
      </c>
      <c r="E376" s="11" t="s">
        <v>39</v>
      </c>
      <c r="F376" s="11" t="s">
        <v>12</v>
      </c>
      <c r="G376">
        <v>30</v>
      </c>
      <c r="H376" s="11" t="s">
        <v>135</v>
      </c>
      <c r="I376" s="11" t="s">
        <v>148</v>
      </c>
      <c r="J376" s="11" t="s">
        <v>21</v>
      </c>
      <c r="K376">
        <v>0</v>
      </c>
      <c r="L376">
        <v>0</v>
      </c>
    </row>
    <row r="377" spans="1:12" x14ac:dyDescent="0.3">
      <c r="A377" s="11" t="s">
        <v>8</v>
      </c>
      <c r="B377" s="11" t="s">
        <v>50</v>
      </c>
      <c r="C377" s="11" t="s">
        <v>58</v>
      </c>
      <c r="D377">
        <v>2</v>
      </c>
      <c r="E377" s="11" t="s">
        <v>25</v>
      </c>
      <c r="F377" s="11" t="s">
        <v>12</v>
      </c>
      <c r="G377" t="s">
        <v>68</v>
      </c>
      <c r="H377" s="11" t="s">
        <v>133</v>
      </c>
      <c r="I377" s="11" t="s">
        <v>148</v>
      </c>
      <c r="J377" s="11" t="s">
        <v>68</v>
      </c>
      <c r="K377">
        <v>0</v>
      </c>
      <c r="L377">
        <v>0</v>
      </c>
    </row>
    <row r="378" spans="1:12" x14ac:dyDescent="0.3">
      <c r="A378" s="11" t="s">
        <v>8</v>
      </c>
      <c r="B378" s="11" t="s">
        <v>14</v>
      </c>
      <c r="C378" s="11" t="s">
        <v>61</v>
      </c>
      <c r="D378">
        <v>34</v>
      </c>
      <c r="E378" s="11" t="s">
        <v>16</v>
      </c>
      <c r="F378" s="11" t="s">
        <v>35</v>
      </c>
      <c r="G378">
        <v>36</v>
      </c>
      <c r="H378" s="11" t="s">
        <v>132</v>
      </c>
      <c r="I378" s="11" t="s">
        <v>148</v>
      </c>
      <c r="J378" s="11" t="s">
        <v>32</v>
      </c>
      <c r="K378">
        <v>0</v>
      </c>
      <c r="L378">
        <v>0</v>
      </c>
    </row>
    <row r="379" spans="1:12" x14ac:dyDescent="0.3">
      <c r="A379" s="11" t="s">
        <v>8</v>
      </c>
      <c r="B379" s="11" t="s">
        <v>64</v>
      </c>
      <c r="C379" s="11" t="s">
        <v>70</v>
      </c>
      <c r="D379">
        <v>810</v>
      </c>
      <c r="E379" s="11" t="s">
        <v>11</v>
      </c>
      <c r="F379" s="11" t="s">
        <v>12</v>
      </c>
      <c r="G379">
        <v>42</v>
      </c>
      <c r="H379" s="11" t="s">
        <v>132</v>
      </c>
      <c r="I379" s="11" t="s">
        <v>148</v>
      </c>
      <c r="J379" s="11" t="s">
        <v>28</v>
      </c>
      <c r="K379">
        <v>1</v>
      </c>
      <c r="L379">
        <v>0</v>
      </c>
    </row>
    <row r="380" spans="1:12" x14ac:dyDescent="0.3">
      <c r="A380" s="11" t="s">
        <v>8</v>
      </c>
      <c r="B380" s="11" t="s">
        <v>14</v>
      </c>
      <c r="C380" s="11" t="s">
        <v>88</v>
      </c>
      <c r="D380" t="s">
        <v>24</v>
      </c>
      <c r="E380" s="11" t="s">
        <v>11</v>
      </c>
      <c r="F380" s="11" t="s">
        <v>12</v>
      </c>
      <c r="G380">
        <v>21</v>
      </c>
      <c r="H380" s="11" t="s">
        <v>132</v>
      </c>
      <c r="I380" s="11" t="s">
        <v>148</v>
      </c>
      <c r="J380" s="11" t="s">
        <v>17</v>
      </c>
      <c r="K380">
        <v>1</v>
      </c>
      <c r="L380">
        <v>0</v>
      </c>
    </row>
    <row r="381" spans="1:12" x14ac:dyDescent="0.3">
      <c r="A381" s="11" t="s">
        <v>166</v>
      </c>
      <c r="B381" s="11" t="s">
        <v>14</v>
      </c>
      <c r="C381" s="11" t="s">
        <v>41</v>
      </c>
      <c r="D381">
        <v>34</v>
      </c>
      <c r="E381" s="11" t="s">
        <v>158</v>
      </c>
      <c r="F381" s="11" t="s">
        <v>12</v>
      </c>
      <c r="G381">
        <v>28</v>
      </c>
      <c r="H381" s="11" t="s">
        <v>138</v>
      </c>
      <c r="I381" s="11" t="s">
        <v>148</v>
      </c>
      <c r="J381" s="11" t="s">
        <v>13</v>
      </c>
      <c r="K381">
        <v>0</v>
      </c>
      <c r="L381">
        <v>0</v>
      </c>
    </row>
    <row r="382" spans="1:12" x14ac:dyDescent="0.3">
      <c r="A382" s="11" t="s">
        <v>46</v>
      </c>
      <c r="B382" s="11" t="s">
        <v>9</v>
      </c>
      <c r="C382" s="11" t="s">
        <v>52</v>
      </c>
      <c r="D382">
        <v>151</v>
      </c>
      <c r="E382" s="11" t="s">
        <v>11</v>
      </c>
      <c r="F382" s="11" t="s">
        <v>12</v>
      </c>
      <c r="G382">
        <v>20</v>
      </c>
      <c r="H382" s="11" t="s">
        <v>138</v>
      </c>
      <c r="I382" s="11" t="s">
        <v>148</v>
      </c>
      <c r="J382" s="11" t="s">
        <v>17</v>
      </c>
      <c r="K382">
        <v>1</v>
      </c>
      <c r="L382">
        <v>0</v>
      </c>
    </row>
    <row r="383" spans="1:12" x14ac:dyDescent="0.3">
      <c r="A383" s="11" t="s">
        <v>8</v>
      </c>
      <c r="B383" s="11" t="s">
        <v>29</v>
      </c>
      <c r="C383" s="11" t="s">
        <v>105</v>
      </c>
      <c r="D383">
        <v>717</v>
      </c>
      <c r="E383" s="11" t="s">
        <v>11</v>
      </c>
      <c r="F383" s="11" t="s">
        <v>12</v>
      </c>
      <c r="G383">
        <v>22</v>
      </c>
      <c r="H383" s="11" t="s">
        <v>137</v>
      </c>
      <c r="I383" s="11" t="s">
        <v>148</v>
      </c>
      <c r="J383" s="11" t="s">
        <v>17</v>
      </c>
      <c r="K383">
        <v>0</v>
      </c>
      <c r="L383">
        <v>0</v>
      </c>
    </row>
    <row r="384" spans="1:12" x14ac:dyDescent="0.3">
      <c r="A384" s="11" t="s">
        <v>38</v>
      </c>
      <c r="B384" s="11" t="s">
        <v>64</v>
      </c>
      <c r="C384" s="11" t="s">
        <v>70</v>
      </c>
      <c r="D384">
        <v>249</v>
      </c>
      <c r="E384" s="11" t="s">
        <v>39</v>
      </c>
      <c r="F384" s="11" t="s">
        <v>12</v>
      </c>
      <c r="G384">
        <v>76</v>
      </c>
      <c r="H384" s="11" t="s">
        <v>136</v>
      </c>
      <c r="I384" s="11" t="s">
        <v>148</v>
      </c>
      <c r="J384" s="11" t="s">
        <v>42</v>
      </c>
      <c r="K384">
        <v>0</v>
      </c>
      <c r="L384">
        <v>0</v>
      </c>
    </row>
    <row r="385" spans="1:12" x14ac:dyDescent="0.3">
      <c r="A385" s="11" t="s">
        <v>8</v>
      </c>
      <c r="B385" s="11" t="s">
        <v>64</v>
      </c>
      <c r="C385" s="11" t="s">
        <v>64</v>
      </c>
      <c r="D385">
        <v>36</v>
      </c>
      <c r="E385" s="11" t="s">
        <v>11</v>
      </c>
      <c r="F385" s="11" t="s">
        <v>12</v>
      </c>
      <c r="G385">
        <v>16</v>
      </c>
      <c r="H385" s="11" t="s">
        <v>135</v>
      </c>
      <c r="I385" s="11" t="s">
        <v>148</v>
      </c>
      <c r="J385" s="11" t="s">
        <v>31</v>
      </c>
      <c r="K385">
        <v>0</v>
      </c>
      <c r="L385">
        <v>1</v>
      </c>
    </row>
    <row r="386" spans="1:12" x14ac:dyDescent="0.3">
      <c r="A386" s="11" t="s">
        <v>46</v>
      </c>
      <c r="B386" s="11" t="s">
        <v>9</v>
      </c>
      <c r="C386" s="11" t="s">
        <v>77</v>
      </c>
      <c r="D386">
        <v>164</v>
      </c>
      <c r="E386" s="11" t="s">
        <v>11</v>
      </c>
      <c r="F386" s="11" t="s">
        <v>12</v>
      </c>
      <c r="G386">
        <v>29</v>
      </c>
      <c r="H386" s="11" t="s">
        <v>134</v>
      </c>
      <c r="I386" s="11" t="s">
        <v>148</v>
      </c>
      <c r="J386" s="11" t="s">
        <v>13</v>
      </c>
      <c r="K386">
        <v>0</v>
      </c>
      <c r="L386">
        <v>0</v>
      </c>
    </row>
    <row r="387" spans="1:12" x14ac:dyDescent="0.3">
      <c r="A387" s="11" t="s">
        <v>87</v>
      </c>
      <c r="B387" s="11" t="s">
        <v>64</v>
      </c>
      <c r="C387" s="11" t="s">
        <v>70</v>
      </c>
      <c r="D387">
        <v>32</v>
      </c>
      <c r="E387" s="11" t="s">
        <v>25</v>
      </c>
      <c r="F387" s="11" t="s">
        <v>12</v>
      </c>
      <c r="G387">
        <v>19</v>
      </c>
      <c r="H387" s="11" t="s">
        <v>134</v>
      </c>
      <c r="I387" s="11" t="s">
        <v>148</v>
      </c>
      <c r="J387" s="11" t="s">
        <v>31</v>
      </c>
      <c r="K387">
        <v>0</v>
      </c>
      <c r="L387">
        <v>0</v>
      </c>
    </row>
    <row r="388" spans="1:12" x14ac:dyDescent="0.3">
      <c r="A388" s="11" t="s">
        <v>8</v>
      </c>
      <c r="B388" s="11" t="s">
        <v>29</v>
      </c>
      <c r="C388" s="11" t="s">
        <v>48</v>
      </c>
      <c r="D388">
        <v>140</v>
      </c>
      <c r="E388" s="11" t="s">
        <v>11</v>
      </c>
      <c r="F388" s="11" t="s">
        <v>12</v>
      </c>
      <c r="G388">
        <v>22</v>
      </c>
      <c r="H388" s="11" t="s">
        <v>134</v>
      </c>
      <c r="I388" s="11" t="s">
        <v>148</v>
      </c>
      <c r="J388" s="11" t="s">
        <v>17</v>
      </c>
      <c r="K388">
        <v>0</v>
      </c>
      <c r="L388">
        <v>0</v>
      </c>
    </row>
    <row r="389" spans="1:12" x14ac:dyDescent="0.3">
      <c r="A389" s="11" t="s">
        <v>22</v>
      </c>
      <c r="B389" s="11" t="s">
        <v>9</v>
      </c>
      <c r="C389" s="11" t="s">
        <v>10</v>
      </c>
      <c r="D389">
        <v>155</v>
      </c>
      <c r="E389" s="11" t="s">
        <v>16</v>
      </c>
      <c r="F389" s="11" t="s">
        <v>12</v>
      </c>
      <c r="G389">
        <v>29</v>
      </c>
      <c r="H389" s="11" t="s">
        <v>132</v>
      </c>
      <c r="I389" s="11" t="s">
        <v>148</v>
      </c>
      <c r="J389" s="11" t="s">
        <v>13</v>
      </c>
      <c r="K389">
        <v>0</v>
      </c>
      <c r="L389">
        <v>0</v>
      </c>
    </row>
    <row r="390" spans="1:12" x14ac:dyDescent="0.3">
      <c r="A390" s="11" t="s">
        <v>8</v>
      </c>
      <c r="B390" s="11" t="s">
        <v>64</v>
      </c>
      <c r="C390" s="11" t="s">
        <v>70</v>
      </c>
      <c r="D390">
        <v>247</v>
      </c>
      <c r="E390" s="11" t="s">
        <v>11</v>
      </c>
      <c r="F390" s="11" t="s">
        <v>12</v>
      </c>
      <c r="G390">
        <v>25</v>
      </c>
      <c r="H390" s="11" t="s">
        <v>132</v>
      </c>
      <c r="I390" s="11" t="s">
        <v>148</v>
      </c>
      <c r="J390" s="11" t="s">
        <v>13</v>
      </c>
      <c r="K390">
        <v>1</v>
      </c>
      <c r="L390">
        <v>0</v>
      </c>
    </row>
    <row r="391" spans="1:12" x14ac:dyDescent="0.3">
      <c r="A391" s="11" t="s">
        <v>46</v>
      </c>
      <c r="B391" s="11" t="s">
        <v>14</v>
      </c>
      <c r="C391" s="11" t="s">
        <v>14</v>
      </c>
      <c r="D391">
        <v>132</v>
      </c>
      <c r="E391" s="11" t="s">
        <v>25</v>
      </c>
      <c r="F391" s="11" t="s">
        <v>12</v>
      </c>
      <c r="G391">
        <v>44</v>
      </c>
      <c r="H391" s="11" t="s">
        <v>138</v>
      </c>
      <c r="I391" s="11" t="s">
        <v>148</v>
      </c>
      <c r="J391" s="11" t="s">
        <v>28</v>
      </c>
      <c r="K391">
        <v>0</v>
      </c>
      <c r="L391">
        <v>0</v>
      </c>
    </row>
    <row r="392" spans="1:12" x14ac:dyDescent="0.3">
      <c r="A392" s="11" t="s">
        <v>87</v>
      </c>
      <c r="B392" s="11" t="s">
        <v>29</v>
      </c>
      <c r="C392" s="11" t="s">
        <v>48</v>
      </c>
      <c r="D392" t="s">
        <v>24</v>
      </c>
      <c r="E392" s="11" t="s">
        <v>11</v>
      </c>
      <c r="F392" s="11" t="s">
        <v>12</v>
      </c>
      <c r="G392" t="s">
        <v>68</v>
      </c>
      <c r="H392" s="11" t="s">
        <v>138</v>
      </c>
      <c r="I392" s="11" t="s">
        <v>148</v>
      </c>
      <c r="J392" s="11" t="s">
        <v>68</v>
      </c>
      <c r="K392">
        <v>1</v>
      </c>
      <c r="L392">
        <v>0</v>
      </c>
    </row>
    <row r="393" spans="1:12" x14ac:dyDescent="0.3">
      <c r="A393" s="11" t="s">
        <v>8</v>
      </c>
      <c r="B393" s="11" t="s">
        <v>64</v>
      </c>
      <c r="C393" s="11" t="s">
        <v>73</v>
      </c>
      <c r="D393">
        <v>36</v>
      </c>
      <c r="E393" s="11" t="s">
        <v>11</v>
      </c>
      <c r="F393" s="11" t="s">
        <v>12</v>
      </c>
      <c r="G393">
        <v>34</v>
      </c>
      <c r="H393" s="11" t="s">
        <v>136</v>
      </c>
      <c r="I393" s="11" t="s">
        <v>148</v>
      </c>
      <c r="J393" s="11" t="s">
        <v>21</v>
      </c>
      <c r="K393">
        <v>0</v>
      </c>
      <c r="L393">
        <v>0</v>
      </c>
    </row>
    <row r="394" spans="1:12" x14ac:dyDescent="0.3">
      <c r="A394" s="11" t="s">
        <v>91</v>
      </c>
      <c r="B394" s="11" t="s">
        <v>29</v>
      </c>
      <c r="C394" s="11" t="s">
        <v>37</v>
      </c>
      <c r="D394">
        <v>1</v>
      </c>
      <c r="E394" s="11" t="s">
        <v>11</v>
      </c>
      <c r="F394" s="11" t="s">
        <v>12</v>
      </c>
      <c r="G394">
        <v>28</v>
      </c>
      <c r="H394" s="11" t="s">
        <v>136</v>
      </c>
      <c r="I394" s="11" t="s">
        <v>148</v>
      </c>
      <c r="J394" s="11" t="s">
        <v>13</v>
      </c>
      <c r="K394">
        <v>0</v>
      </c>
      <c r="L394">
        <v>0</v>
      </c>
    </row>
    <row r="395" spans="1:12" x14ac:dyDescent="0.3">
      <c r="A395" s="11" t="s">
        <v>8</v>
      </c>
      <c r="B395" s="11" t="s">
        <v>34</v>
      </c>
      <c r="C395" s="11" t="s">
        <v>34</v>
      </c>
      <c r="D395">
        <v>214</v>
      </c>
      <c r="E395" s="11" t="s">
        <v>11</v>
      </c>
      <c r="F395" s="11" t="s">
        <v>12</v>
      </c>
      <c r="G395">
        <v>19</v>
      </c>
      <c r="H395" s="11" t="s">
        <v>134</v>
      </c>
      <c r="I395" s="11" t="s">
        <v>148</v>
      </c>
      <c r="J395" s="11" t="s">
        <v>31</v>
      </c>
      <c r="K395">
        <v>0</v>
      </c>
      <c r="L395">
        <v>1</v>
      </c>
    </row>
    <row r="396" spans="1:12" x14ac:dyDescent="0.3">
      <c r="A396" s="11" t="s">
        <v>91</v>
      </c>
      <c r="B396" s="11" t="s">
        <v>64</v>
      </c>
      <c r="C396" s="11" t="s">
        <v>70</v>
      </c>
      <c r="D396">
        <v>247</v>
      </c>
      <c r="E396" s="11" t="s">
        <v>62</v>
      </c>
      <c r="F396" s="11" t="s">
        <v>35</v>
      </c>
      <c r="G396">
        <v>37</v>
      </c>
      <c r="H396" s="11" t="s">
        <v>133</v>
      </c>
      <c r="I396" s="11" t="s">
        <v>149</v>
      </c>
      <c r="J396" s="11" t="s">
        <v>32</v>
      </c>
      <c r="K396">
        <v>0</v>
      </c>
      <c r="L396">
        <v>0</v>
      </c>
    </row>
    <row r="397" spans="1:12" x14ac:dyDescent="0.3">
      <c r="A397" s="11" t="s">
        <v>8</v>
      </c>
      <c r="B397" s="11" t="s">
        <v>9</v>
      </c>
      <c r="C397" s="11" t="s">
        <v>23</v>
      </c>
      <c r="D397" t="s">
        <v>24</v>
      </c>
      <c r="E397" s="11" t="s">
        <v>11</v>
      </c>
      <c r="F397" s="11" t="s">
        <v>12</v>
      </c>
      <c r="G397">
        <v>22</v>
      </c>
      <c r="H397" s="11" t="s">
        <v>132</v>
      </c>
      <c r="I397" s="11" t="s">
        <v>149</v>
      </c>
      <c r="J397" s="11" t="s">
        <v>17</v>
      </c>
      <c r="K397">
        <v>1</v>
      </c>
      <c r="L397">
        <v>0</v>
      </c>
    </row>
    <row r="398" spans="1:12" x14ac:dyDescent="0.3">
      <c r="A398" s="11" t="s">
        <v>8</v>
      </c>
      <c r="B398" s="11" t="s">
        <v>64</v>
      </c>
      <c r="C398" s="11" t="s">
        <v>120</v>
      </c>
      <c r="D398" t="s">
        <v>24</v>
      </c>
      <c r="E398" s="11" t="s">
        <v>39</v>
      </c>
      <c r="F398" s="11" t="s">
        <v>12</v>
      </c>
      <c r="G398" t="s">
        <v>68</v>
      </c>
      <c r="H398" s="11" t="s">
        <v>132</v>
      </c>
      <c r="I398" s="11" t="s">
        <v>149</v>
      </c>
      <c r="J398" s="11" t="s">
        <v>68</v>
      </c>
      <c r="K398">
        <v>0</v>
      </c>
      <c r="L398">
        <v>0</v>
      </c>
    </row>
    <row r="399" spans="1:12" x14ac:dyDescent="0.3">
      <c r="A399" s="11" t="s">
        <v>46</v>
      </c>
      <c r="B399" s="11" t="s">
        <v>29</v>
      </c>
      <c r="C399" s="11" t="s">
        <v>29</v>
      </c>
      <c r="D399">
        <v>153</v>
      </c>
      <c r="E399" s="11" t="s">
        <v>11</v>
      </c>
      <c r="F399" s="11" t="s">
        <v>12</v>
      </c>
      <c r="G399">
        <v>22</v>
      </c>
      <c r="H399" s="11" t="s">
        <v>138</v>
      </c>
      <c r="I399" s="11" t="s">
        <v>149</v>
      </c>
      <c r="J399" s="11" t="s">
        <v>17</v>
      </c>
      <c r="K399">
        <v>1</v>
      </c>
      <c r="L399">
        <v>0</v>
      </c>
    </row>
    <row r="400" spans="1:12" x14ac:dyDescent="0.3">
      <c r="A400" s="11" t="s">
        <v>91</v>
      </c>
      <c r="B400" s="11" t="s">
        <v>29</v>
      </c>
      <c r="C400" s="11" t="s">
        <v>48</v>
      </c>
      <c r="D400">
        <v>35</v>
      </c>
      <c r="E400" s="11" t="s">
        <v>11</v>
      </c>
      <c r="F400" s="11" t="s">
        <v>12</v>
      </c>
      <c r="G400">
        <v>28</v>
      </c>
      <c r="H400" s="11" t="s">
        <v>138</v>
      </c>
      <c r="I400" s="11" t="s">
        <v>149</v>
      </c>
      <c r="J400" s="11" t="s">
        <v>13</v>
      </c>
      <c r="K400">
        <v>1</v>
      </c>
      <c r="L400">
        <v>0</v>
      </c>
    </row>
    <row r="401" spans="1:12" x14ac:dyDescent="0.3">
      <c r="A401" s="11" t="s">
        <v>91</v>
      </c>
      <c r="B401" s="11" t="s">
        <v>64</v>
      </c>
      <c r="C401" s="11" t="s">
        <v>65</v>
      </c>
      <c r="D401" t="s">
        <v>24</v>
      </c>
      <c r="E401" s="11" t="s">
        <v>11</v>
      </c>
      <c r="F401" s="11" t="s">
        <v>12</v>
      </c>
      <c r="G401">
        <v>29</v>
      </c>
      <c r="H401" s="11" t="s">
        <v>138</v>
      </c>
      <c r="I401" s="11" t="s">
        <v>149</v>
      </c>
      <c r="J401" s="11" t="s">
        <v>13</v>
      </c>
      <c r="K401">
        <v>1</v>
      </c>
      <c r="L401">
        <v>0</v>
      </c>
    </row>
    <row r="402" spans="1:12" x14ac:dyDescent="0.3">
      <c r="A402" s="11" t="s">
        <v>22</v>
      </c>
      <c r="B402" s="11" t="s">
        <v>29</v>
      </c>
      <c r="C402" s="11" t="s">
        <v>29</v>
      </c>
      <c r="D402">
        <v>126</v>
      </c>
      <c r="E402" s="11" t="s">
        <v>25</v>
      </c>
      <c r="F402" s="11" t="s">
        <v>12</v>
      </c>
      <c r="G402">
        <v>40</v>
      </c>
      <c r="H402" s="11" t="s">
        <v>137</v>
      </c>
      <c r="I402" s="11" t="s">
        <v>149</v>
      </c>
      <c r="J402" s="11" t="s">
        <v>28</v>
      </c>
      <c r="K402">
        <v>0</v>
      </c>
      <c r="L402">
        <v>0</v>
      </c>
    </row>
    <row r="403" spans="1:12" x14ac:dyDescent="0.3">
      <c r="A403" s="11" t="s">
        <v>22</v>
      </c>
      <c r="B403" s="11" t="s">
        <v>29</v>
      </c>
      <c r="C403" s="11" t="s">
        <v>29</v>
      </c>
      <c r="D403">
        <v>126</v>
      </c>
      <c r="E403" s="11" t="s">
        <v>16</v>
      </c>
      <c r="F403" s="11" t="s">
        <v>12</v>
      </c>
      <c r="G403">
        <v>30</v>
      </c>
      <c r="H403" s="11" t="s">
        <v>137</v>
      </c>
      <c r="I403" s="11" t="s">
        <v>149</v>
      </c>
      <c r="J403" s="11" t="s">
        <v>21</v>
      </c>
      <c r="K403">
        <v>0</v>
      </c>
      <c r="L403">
        <v>0</v>
      </c>
    </row>
    <row r="404" spans="1:12" x14ac:dyDescent="0.3">
      <c r="A404" s="11" t="s">
        <v>8</v>
      </c>
      <c r="B404" s="11" t="s">
        <v>9</v>
      </c>
      <c r="C404" s="11" t="s">
        <v>52</v>
      </c>
      <c r="D404">
        <v>21</v>
      </c>
      <c r="E404" s="11" t="s">
        <v>82</v>
      </c>
      <c r="F404" s="11" t="s">
        <v>12</v>
      </c>
      <c r="G404">
        <v>82</v>
      </c>
      <c r="H404" s="11" t="s">
        <v>137</v>
      </c>
      <c r="I404" s="11" t="s">
        <v>149</v>
      </c>
      <c r="J404" s="11" t="s">
        <v>42</v>
      </c>
      <c r="K404">
        <v>0</v>
      </c>
      <c r="L404">
        <v>0</v>
      </c>
    </row>
    <row r="405" spans="1:12" x14ac:dyDescent="0.3">
      <c r="A405" s="11" t="s">
        <v>8</v>
      </c>
      <c r="B405" s="11" t="s">
        <v>9</v>
      </c>
      <c r="C405" s="11" t="s">
        <v>52</v>
      </c>
      <c r="D405">
        <v>21</v>
      </c>
      <c r="E405" s="11" t="s">
        <v>25</v>
      </c>
      <c r="F405" s="11" t="s">
        <v>12</v>
      </c>
      <c r="G405">
        <v>47</v>
      </c>
      <c r="H405" s="11" t="s">
        <v>137</v>
      </c>
      <c r="I405" s="11" t="s">
        <v>149</v>
      </c>
      <c r="J405" s="11" t="s">
        <v>19</v>
      </c>
      <c r="K405">
        <v>0</v>
      </c>
      <c r="L405">
        <v>0</v>
      </c>
    </row>
    <row r="406" spans="1:12" x14ac:dyDescent="0.3">
      <c r="A406" s="11" t="s">
        <v>166</v>
      </c>
      <c r="B406" s="11" t="s">
        <v>34</v>
      </c>
      <c r="C406" s="11" t="s">
        <v>34</v>
      </c>
      <c r="D406" t="s">
        <v>24</v>
      </c>
      <c r="E406" s="11" t="s">
        <v>158</v>
      </c>
      <c r="F406" s="11" t="s">
        <v>12</v>
      </c>
      <c r="G406">
        <v>43</v>
      </c>
      <c r="H406" s="11" t="s">
        <v>136</v>
      </c>
      <c r="I406" s="11" t="s">
        <v>149</v>
      </c>
      <c r="J406" s="11" t="s">
        <v>28</v>
      </c>
      <c r="K406">
        <v>0</v>
      </c>
      <c r="L406">
        <v>0</v>
      </c>
    </row>
    <row r="407" spans="1:12" x14ac:dyDescent="0.3">
      <c r="A407" s="11" t="s">
        <v>22</v>
      </c>
      <c r="B407" s="11" t="s">
        <v>14</v>
      </c>
      <c r="C407" s="11" t="s">
        <v>45</v>
      </c>
      <c r="D407">
        <v>2</v>
      </c>
      <c r="E407" s="11" t="s">
        <v>11</v>
      </c>
      <c r="F407" s="11" t="s">
        <v>12</v>
      </c>
      <c r="G407">
        <v>19</v>
      </c>
      <c r="H407" s="11" t="s">
        <v>135</v>
      </c>
      <c r="I407" s="11" t="s">
        <v>149</v>
      </c>
      <c r="J407" s="11" t="s">
        <v>31</v>
      </c>
      <c r="K407">
        <v>0</v>
      </c>
      <c r="L407">
        <v>1</v>
      </c>
    </row>
    <row r="408" spans="1:12" x14ac:dyDescent="0.3">
      <c r="A408" s="11" t="s">
        <v>91</v>
      </c>
      <c r="B408" s="11" t="s">
        <v>40</v>
      </c>
      <c r="C408" s="11" t="s">
        <v>86</v>
      </c>
      <c r="D408">
        <v>4</v>
      </c>
      <c r="E408" s="11" t="s">
        <v>11</v>
      </c>
      <c r="F408" s="11" t="s">
        <v>12</v>
      </c>
      <c r="G408">
        <v>56</v>
      </c>
      <c r="H408" s="11" t="s">
        <v>135</v>
      </c>
      <c r="I408" s="11" t="s">
        <v>149</v>
      </c>
      <c r="J408" s="11" t="s">
        <v>36</v>
      </c>
      <c r="K408">
        <v>0</v>
      </c>
      <c r="L408">
        <v>0</v>
      </c>
    </row>
    <row r="409" spans="1:12" x14ac:dyDescent="0.3">
      <c r="A409" s="11" t="s">
        <v>8</v>
      </c>
      <c r="B409" s="11" t="s">
        <v>9</v>
      </c>
      <c r="C409" s="11" t="s">
        <v>20</v>
      </c>
      <c r="D409">
        <v>21</v>
      </c>
      <c r="E409" s="11" t="s">
        <v>11</v>
      </c>
      <c r="F409" s="11" t="s">
        <v>12</v>
      </c>
      <c r="G409">
        <v>28</v>
      </c>
      <c r="H409" s="11" t="s">
        <v>135</v>
      </c>
      <c r="I409" s="11" t="s">
        <v>149</v>
      </c>
      <c r="J409" s="11" t="s">
        <v>13</v>
      </c>
      <c r="K409">
        <v>0</v>
      </c>
      <c r="L409">
        <v>0</v>
      </c>
    </row>
    <row r="410" spans="1:12" x14ac:dyDescent="0.3">
      <c r="A410" s="11" t="s">
        <v>166</v>
      </c>
      <c r="B410" s="11" t="s">
        <v>9</v>
      </c>
      <c r="C410" s="11" t="s">
        <v>26</v>
      </c>
      <c r="D410">
        <v>1</v>
      </c>
      <c r="E410" s="11" t="s">
        <v>158</v>
      </c>
      <c r="F410" s="11" t="s">
        <v>12</v>
      </c>
      <c r="G410" t="s">
        <v>68</v>
      </c>
      <c r="H410" s="11" t="s">
        <v>134</v>
      </c>
      <c r="I410" s="11" t="s">
        <v>149</v>
      </c>
      <c r="J410" s="11" t="s">
        <v>68</v>
      </c>
      <c r="K410">
        <v>0</v>
      </c>
      <c r="L410">
        <v>0</v>
      </c>
    </row>
    <row r="411" spans="1:12" x14ac:dyDescent="0.3">
      <c r="A411" s="11" t="s">
        <v>22</v>
      </c>
      <c r="B411" s="11" t="s">
        <v>34</v>
      </c>
      <c r="C411" s="11" t="s">
        <v>84</v>
      </c>
      <c r="D411" t="s">
        <v>24</v>
      </c>
      <c r="E411" s="11" t="s">
        <v>16</v>
      </c>
      <c r="F411" s="11" t="s">
        <v>12</v>
      </c>
      <c r="G411">
        <v>68</v>
      </c>
      <c r="H411" s="11" t="s">
        <v>134</v>
      </c>
      <c r="I411" s="11" t="s">
        <v>149</v>
      </c>
      <c r="J411" s="11" t="s">
        <v>27</v>
      </c>
      <c r="K411">
        <v>0</v>
      </c>
      <c r="L411">
        <v>0</v>
      </c>
    </row>
    <row r="412" spans="1:12" x14ac:dyDescent="0.3">
      <c r="A412" s="11" t="s">
        <v>38</v>
      </c>
      <c r="B412" s="11" t="s">
        <v>50</v>
      </c>
      <c r="C412" s="11" t="s">
        <v>125</v>
      </c>
      <c r="D412">
        <v>10</v>
      </c>
      <c r="E412" s="11" t="s">
        <v>39</v>
      </c>
      <c r="F412" s="11" t="s">
        <v>12</v>
      </c>
      <c r="G412">
        <v>15</v>
      </c>
      <c r="H412" s="11" t="s">
        <v>134</v>
      </c>
      <c r="I412" s="11" t="s">
        <v>149</v>
      </c>
      <c r="J412" s="11" t="s">
        <v>31</v>
      </c>
      <c r="K412">
        <v>0</v>
      </c>
      <c r="L412">
        <v>0</v>
      </c>
    </row>
    <row r="413" spans="1:12" x14ac:dyDescent="0.3">
      <c r="A413" s="11" t="s">
        <v>8</v>
      </c>
      <c r="B413" s="11" t="s">
        <v>50</v>
      </c>
      <c r="C413" s="11" t="s">
        <v>50</v>
      </c>
      <c r="D413">
        <v>219</v>
      </c>
      <c r="E413" s="11" t="s">
        <v>11</v>
      </c>
      <c r="F413" s="11" t="s">
        <v>12</v>
      </c>
      <c r="G413">
        <v>22</v>
      </c>
      <c r="H413" s="11" t="s">
        <v>134</v>
      </c>
      <c r="I413" s="11" t="s">
        <v>149</v>
      </c>
      <c r="J413" s="11" t="s">
        <v>17</v>
      </c>
      <c r="K413">
        <v>0</v>
      </c>
      <c r="L413">
        <v>0</v>
      </c>
    </row>
    <row r="414" spans="1:12" x14ac:dyDescent="0.3">
      <c r="A414" s="11" t="s">
        <v>8</v>
      </c>
      <c r="B414" s="11" t="s">
        <v>14</v>
      </c>
      <c r="C414" s="11" t="s">
        <v>90</v>
      </c>
      <c r="D414">
        <v>144</v>
      </c>
      <c r="E414" s="11" t="s">
        <v>11</v>
      </c>
      <c r="F414" s="11" t="s">
        <v>12</v>
      </c>
      <c r="G414">
        <v>75</v>
      </c>
      <c r="H414" s="11" t="s">
        <v>138</v>
      </c>
      <c r="I414" s="11" t="s">
        <v>149</v>
      </c>
      <c r="J414" s="11" t="s">
        <v>42</v>
      </c>
      <c r="K414">
        <v>1</v>
      </c>
      <c r="L414">
        <v>0</v>
      </c>
    </row>
    <row r="415" spans="1:12" x14ac:dyDescent="0.3">
      <c r="A415" s="11" t="s">
        <v>166</v>
      </c>
      <c r="B415" s="11" t="s">
        <v>29</v>
      </c>
      <c r="C415" s="11" t="s">
        <v>48</v>
      </c>
      <c r="D415">
        <v>141</v>
      </c>
      <c r="E415" s="11" t="s">
        <v>39</v>
      </c>
      <c r="F415" s="11" t="s">
        <v>12</v>
      </c>
      <c r="G415">
        <v>71</v>
      </c>
      <c r="H415" s="11" t="s">
        <v>138</v>
      </c>
      <c r="I415" s="11" t="s">
        <v>149</v>
      </c>
      <c r="J415" s="11" t="s">
        <v>94</v>
      </c>
      <c r="K415">
        <v>0</v>
      </c>
      <c r="L415">
        <v>0</v>
      </c>
    </row>
    <row r="416" spans="1:12" x14ac:dyDescent="0.3">
      <c r="A416" s="11" t="s">
        <v>8</v>
      </c>
      <c r="B416" s="11" t="s">
        <v>9</v>
      </c>
      <c r="C416" s="11" t="s">
        <v>52</v>
      </c>
      <c r="D416">
        <v>21</v>
      </c>
      <c r="E416" s="11" t="s">
        <v>62</v>
      </c>
      <c r="F416" s="11" t="s">
        <v>35</v>
      </c>
      <c r="G416">
        <v>75</v>
      </c>
      <c r="H416" s="11" t="s">
        <v>137</v>
      </c>
      <c r="I416" s="11" t="s">
        <v>149</v>
      </c>
      <c r="J416" s="11" t="s">
        <v>42</v>
      </c>
      <c r="K416">
        <v>0</v>
      </c>
      <c r="L416">
        <v>0</v>
      </c>
    </row>
    <row r="417" spans="1:12" x14ac:dyDescent="0.3">
      <c r="A417" s="11" t="s">
        <v>8</v>
      </c>
      <c r="B417" s="11" t="s">
        <v>14</v>
      </c>
      <c r="C417" s="11" t="s">
        <v>88</v>
      </c>
      <c r="D417">
        <v>2</v>
      </c>
      <c r="E417" s="11" t="s">
        <v>25</v>
      </c>
      <c r="F417" s="11" t="s">
        <v>12</v>
      </c>
      <c r="G417">
        <v>24</v>
      </c>
      <c r="H417" s="11" t="s">
        <v>137</v>
      </c>
      <c r="I417" s="11" t="s">
        <v>149</v>
      </c>
      <c r="J417" s="11" t="s">
        <v>17</v>
      </c>
      <c r="K417">
        <v>0</v>
      </c>
      <c r="L417">
        <v>0</v>
      </c>
    </row>
    <row r="418" spans="1:12" x14ac:dyDescent="0.3">
      <c r="A418" s="11" t="s">
        <v>46</v>
      </c>
      <c r="B418" s="11" t="s">
        <v>29</v>
      </c>
      <c r="C418" s="11" t="s">
        <v>74</v>
      </c>
      <c r="D418">
        <v>6</v>
      </c>
      <c r="E418" s="11" t="s">
        <v>25</v>
      </c>
      <c r="F418" s="11" t="s">
        <v>12</v>
      </c>
      <c r="G418">
        <v>41</v>
      </c>
      <c r="H418" s="11" t="s">
        <v>133</v>
      </c>
      <c r="I418" s="11" t="s">
        <v>149</v>
      </c>
      <c r="J418" s="11" t="s">
        <v>28</v>
      </c>
      <c r="K418">
        <v>0</v>
      </c>
      <c r="L418">
        <v>0</v>
      </c>
    </row>
    <row r="419" spans="1:12" x14ac:dyDescent="0.3">
      <c r="A419" s="11" t="s">
        <v>8</v>
      </c>
      <c r="B419" s="11" t="s">
        <v>29</v>
      </c>
      <c r="C419" s="11" t="s">
        <v>29</v>
      </c>
      <c r="D419">
        <v>27</v>
      </c>
      <c r="E419" s="11" t="s">
        <v>25</v>
      </c>
      <c r="F419" s="11" t="s">
        <v>12</v>
      </c>
      <c r="G419">
        <v>45</v>
      </c>
      <c r="H419" s="11" t="s">
        <v>133</v>
      </c>
      <c r="I419" s="11" t="s">
        <v>149</v>
      </c>
      <c r="J419" s="11" t="s">
        <v>19</v>
      </c>
      <c r="K419">
        <v>0</v>
      </c>
      <c r="L419">
        <v>0</v>
      </c>
    </row>
    <row r="420" spans="1:12" x14ac:dyDescent="0.3">
      <c r="A420" s="11" t="s">
        <v>8</v>
      </c>
      <c r="B420" s="11" t="s">
        <v>29</v>
      </c>
      <c r="C420" s="11" t="s">
        <v>29</v>
      </c>
      <c r="D420">
        <v>27</v>
      </c>
      <c r="E420" s="11" t="s">
        <v>16</v>
      </c>
      <c r="F420" s="11" t="s">
        <v>12</v>
      </c>
      <c r="G420">
        <v>27</v>
      </c>
      <c r="H420" s="11" t="s">
        <v>133</v>
      </c>
      <c r="I420" s="11" t="s">
        <v>149</v>
      </c>
      <c r="J420" s="11" t="s">
        <v>13</v>
      </c>
      <c r="K420">
        <v>0</v>
      </c>
      <c r="L420">
        <v>0</v>
      </c>
    </row>
    <row r="421" spans="1:12" x14ac:dyDescent="0.3">
      <c r="A421" s="11" t="s">
        <v>38</v>
      </c>
      <c r="B421" s="11" t="s">
        <v>50</v>
      </c>
      <c r="C421" s="11" t="s">
        <v>125</v>
      </c>
      <c r="D421">
        <v>232</v>
      </c>
      <c r="E421" s="11" t="s">
        <v>11</v>
      </c>
      <c r="F421" s="11" t="s">
        <v>12</v>
      </c>
      <c r="G421">
        <v>27</v>
      </c>
      <c r="H421" s="11" t="s">
        <v>132</v>
      </c>
      <c r="I421" s="11" t="s">
        <v>149</v>
      </c>
      <c r="J421" s="11" t="s">
        <v>13</v>
      </c>
      <c r="K421">
        <v>1</v>
      </c>
      <c r="L421">
        <v>0</v>
      </c>
    </row>
    <row r="422" spans="1:12" x14ac:dyDescent="0.3">
      <c r="A422" s="11" t="s">
        <v>46</v>
      </c>
      <c r="B422" s="11" t="s">
        <v>34</v>
      </c>
      <c r="C422" s="11" t="s">
        <v>34</v>
      </c>
      <c r="D422">
        <v>39</v>
      </c>
      <c r="E422" s="11" t="s">
        <v>11</v>
      </c>
      <c r="F422" s="11" t="s">
        <v>12</v>
      </c>
      <c r="G422">
        <v>24</v>
      </c>
      <c r="H422" s="11" t="s">
        <v>132</v>
      </c>
      <c r="I422" s="11" t="s">
        <v>149</v>
      </c>
      <c r="J422" s="11" t="s">
        <v>17</v>
      </c>
      <c r="K422">
        <v>1</v>
      </c>
      <c r="L422">
        <v>0</v>
      </c>
    </row>
    <row r="423" spans="1:12" x14ac:dyDescent="0.3">
      <c r="A423" s="11" t="s">
        <v>91</v>
      </c>
      <c r="B423" s="11" t="s">
        <v>50</v>
      </c>
      <c r="C423" s="11" t="s">
        <v>50</v>
      </c>
      <c r="D423">
        <v>228</v>
      </c>
      <c r="E423" s="11" t="s">
        <v>11</v>
      </c>
      <c r="F423" s="11" t="s">
        <v>12</v>
      </c>
      <c r="G423">
        <v>46</v>
      </c>
      <c r="H423" s="11" t="s">
        <v>132</v>
      </c>
      <c r="I423" s="11" t="s">
        <v>149</v>
      </c>
      <c r="J423" s="11" t="s">
        <v>19</v>
      </c>
      <c r="K423">
        <v>1</v>
      </c>
      <c r="L423">
        <v>0</v>
      </c>
    </row>
    <row r="424" spans="1:12" x14ac:dyDescent="0.3">
      <c r="A424" s="11" t="s">
        <v>38</v>
      </c>
      <c r="B424" s="11" t="s">
        <v>64</v>
      </c>
      <c r="C424" s="11" t="s">
        <v>64</v>
      </c>
      <c r="D424">
        <v>36</v>
      </c>
      <c r="E424" s="11" t="s">
        <v>39</v>
      </c>
      <c r="F424" s="11" t="s">
        <v>12</v>
      </c>
      <c r="G424">
        <v>39</v>
      </c>
      <c r="H424" s="11" t="s">
        <v>132</v>
      </c>
      <c r="I424" s="11" t="s">
        <v>149</v>
      </c>
      <c r="J424" s="11" t="s">
        <v>32</v>
      </c>
      <c r="K424">
        <v>0</v>
      </c>
      <c r="L424">
        <v>0</v>
      </c>
    </row>
    <row r="425" spans="1:12" x14ac:dyDescent="0.3">
      <c r="A425" s="11" t="s">
        <v>46</v>
      </c>
      <c r="B425" s="11" t="s">
        <v>29</v>
      </c>
      <c r="C425" s="11" t="s">
        <v>48</v>
      </c>
      <c r="D425">
        <v>140</v>
      </c>
      <c r="E425" s="11" t="s">
        <v>25</v>
      </c>
      <c r="F425" s="11" t="s">
        <v>12</v>
      </c>
      <c r="G425">
        <v>45</v>
      </c>
      <c r="H425" s="11" t="s">
        <v>138</v>
      </c>
      <c r="I425" s="11" t="s">
        <v>149</v>
      </c>
      <c r="J425" s="11" t="s">
        <v>19</v>
      </c>
      <c r="K425">
        <v>0</v>
      </c>
      <c r="L425">
        <v>0</v>
      </c>
    </row>
    <row r="426" spans="1:12" x14ac:dyDescent="0.3">
      <c r="A426" s="11" t="s">
        <v>91</v>
      </c>
      <c r="B426" s="11" t="s">
        <v>29</v>
      </c>
      <c r="C426" s="11" t="s">
        <v>92</v>
      </c>
      <c r="D426" t="s">
        <v>24</v>
      </c>
      <c r="E426" s="11" t="s">
        <v>25</v>
      </c>
      <c r="F426" s="11" t="s">
        <v>12</v>
      </c>
      <c r="G426">
        <v>22</v>
      </c>
      <c r="H426" s="11" t="s">
        <v>137</v>
      </c>
      <c r="I426" s="11" t="s">
        <v>149</v>
      </c>
      <c r="J426" s="11" t="s">
        <v>17</v>
      </c>
      <c r="K426">
        <v>0</v>
      </c>
      <c r="L426">
        <v>0</v>
      </c>
    </row>
    <row r="427" spans="1:12" x14ac:dyDescent="0.3">
      <c r="A427" s="11" t="s">
        <v>8</v>
      </c>
      <c r="B427" s="11" t="s">
        <v>9</v>
      </c>
      <c r="C427" s="11" t="s">
        <v>52</v>
      </c>
      <c r="D427">
        <v>21</v>
      </c>
      <c r="E427" s="11" t="s">
        <v>11</v>
      </c>
      <c r="F427" s="11" t="s">
        <v>12</v>
      </c>
      <c r="G427">
        <v>33</v>
      </c>
      <c r="H427" s="11" t="s">
        <v>135</v>
      </c>
      <c r="I427" s="11" t="s">
        <v>149</v>
      </c>
      <c r="J427" s="11" t="s">
        <v>21</v>
      </c>
      <c r="K427">
        <v>0</v>
      </c>
      <c r="L427">
        <v>0</v>
      </c>
    </row>
    <row r="428" spans="1:12" x14ac:dyDescent="0.3">
      <c r="A428" s="11" t="s">
        <v>114</v>
      </c>
      <c r="B428" s="11" t="s">
        <v>29</v>
      </c>
      <c r="C428" s="11" t="s">
        <v>74</v>
      </c>
      <c r="D428">
        <v>4</v>
      </c>
      <c r="E428" s="11" t="s">
        <v>62</v>
      </c>
      <c r="F428" s="11" t="s">
        <v>12</v>
      </c>
      <c r="G428">
        <v>46</v>
      </c>
      <c r="H428" s="11" t="s">
        <v>134</v>
      </c>
      <c r="I428" s="11" t="s">
        <v>149</v>
      </c>
      <c r="J428" s="11" t="s">
        <v>19</v>
      </c>
      <c r="K428">
        <v>0</v>
      </c>
      <c r="L428">
        <v>0</v>
      </c>
    </row>
    <row r="429" spans="1:12" x14ac:dyDescent="0.3">
      <c r="A429" s="11" t="s">
        <v>166</v>
      </c>
      <c r="B429" s="11" t="s">
        <v>29</v>
      </c>
      <c r="C429" s="11" t="s">
        <v>30</v>
      </c>
      <c r="D429">
        <v>27</v>
      </c>
      <c r="E429" s="11" t="s">
        <v>158</v>
      </c>
      <c r="F429" s="11" t="s">
        <v>12</v>
      </c>
      <c r="G429">
        <v>37</v>
      </c>
      <c r="H429" s="11" t="s">
        <v>132</v>
      </c>
      <c r="I429" s="11" t="s">
        <v>149</v>
      </c>
      <c r="J429" s="11" t="s">
        <v>32</v>
      </c>
      <c r="K429">
        <v>0</v>
      </c>
      <c r="L429">
        <v>0</v>
      </c>
    </row>
    <row r="430" spans="1:12" x14ac:dyDescent="0.3">
      <c r="A430" s="11" t="s">
        <v>38</v>
      </c>
      <c r="B430" s="11" t="s">
        <v>34</v>
      </c>
      <c r="C430" s="11" t="s">
        <v>84</v>
      </c>
      <c r="D430">
        <v>2</v>
      </c>
      <c r="E430" s="11" t="s">
        <v>39</v>
      </c>
      <c r="F430" s="11" t="s">
        <v>35</v>
      </c>
      <c r="G430">
        <v>33</v>
      </c>
      <c r="H430" s="11" t="s">
        <v>132</v>
      </c>
      <c r="I430" s="11" t="s">
        <v>149</v>
      </c>
      <c r="J430" s="11" t="s">
        <v>21</v>
      </c>
      <c r="K430">
        <v>0</v>
      </c>
      <c r="L430">
        <v>0</v>
      </c>
    </row>
    <row r="431" spans="1:12" x14ac:dyDescent="0.3">
      <c r="A431" s="11" t="s">
        <v>22</v>
      </c>
      <c r="B431" s="11" t="s">
        <v>40</v>
      </c>
      <c r="C431" s="11" t="s">
        <v>40</v>
      </c>
      <c r="D431">
        <v>3</v>
      </c>
      <c r="E431" s="11" t="s">
        <v>11</v>
      </c>
      <c r="F431" s="11" t="s">
        <v>12</v>
      </c>
      <c r="G431">
        <v>22</v>
      </c>
      <c r="H431" s="11" t="s">
        <v>132</v>
      </c>
      <c r="I431" s="11" t="s">
        <v>149</v>
      </c>
      <c r="J431" s="11" t="s">
        <v>17</v>
      </c>
      <c r="K431">
        <v>1</v>
      </c>
      <c r="L431">
        <v>0</v>
      </c>
    </row>
    <row r="432" spans="1:12" x14ac:dyDescent="0.3">
      <c r="A432" s="11" t="s">
        <v>91</v>
      </c>
      <c r="B432" s="11" t="s">
        <v>14</v>
      </c>
      <c r="C432" s="11" t="s">
        <v>18</v>
      </c>
      <c r="D432">
        <v>2</v>
      </c>
      <c r="E432" s="11" t="s">
        <v>11</v>
      </c>
      <c r="F432" s="11" t="s">
        <v>12</v>
      </c>
      <c r="G432">
        <v>55</v>
      </c>
      <c r="H432" s="11" t="s">
        <v>138</v>
      </c>
      <c r="I432" s="11" t="s">
        <v>149</v>
      </c>
      <c r="J432" s="11" t="s">
        <v>36</v>
      </c>
      <c r="K432">
        <v>1</v>
      </c>
      <c r="L432">
        <v>0</v>
      </c>
    </row>
    <row r="433" spans="1:12" x14ac:dyDescent="0.3">
      <c r="A433" s="11" t="s">
        <v>91</v>
      </c>
      <c r="B433" s="11" t="s">
        <v>14</v>
      </c>
      <c r="C433" s="11" t="s">
        <v>18</v>
      </c>
      <c r="D433">
        <v>2</v>
      </c>
      <c r="E433" s="11" t="s">
        <v>62</v>
      </c>
      <c r="F433" s="11" t="s">
        <v>35</v>
      </c>
      <c r="G433">
        <v>52</v>
      </c>
      <c r="H433" s="11" t="s">
        <v>138</v>
      </c>
      <c r="I433" s="11" t="s">
        <v>149</v>
      </c>
      <c r="J433" s="11" t="s">
        <v>60</v>
      </c>
      <c r="K433">
        <v>0</v>
      </c>
      <c r="L433">
        <v>0</v>
      </c>
    </row>
    <row r="434" spans="1:12" x14ac:dyDescent="0.3">
      <c r="A434" s="11" t="s">
        <v>8</v>
      </c>
      <c r="B434" s="11" t="s">
        <v>14</v>
      </c>
      <c r="C434" s="11" t="s">
        <v>61</v>
      </c>
      <c r="D434">
        <v>34</v>
      </c>
      <c r="E434" s="11" t="s">
        <v>11</v>
      </c>
      <c r="F434" s="11" t="s">
        <v>12</v>
      </c>
      <c r="G434">
        <v>66</v>
      </c>
      <c r="H434" s="11" t="s">
        <v>138</v>
      </c>
      <c r="I434" s="11" t="s">
        <v>149</v>
      </c>
      <c r="J434" s="11" t="s">
        <v>27</v>
      </c>
      <c r="K434">
        <v>1</v>
      </c>
      <c r="L434">
        <v>0</v>
      </c>
    </row>
    <row r="435" spans="1:12" x14ac:dyDescent="0.3">
      <c r="A435" s="11" t="s">
        <v>8</v>
      </c>
      <c r="B435" s="11" t="s">
        <v>34</v>
      </c>
      <c r="C435" s="11" t="s">
        <v>84</v>
      </c>
      <c r="D435">
        <v>243</v>
      </c>
      <c r="E435" s="11" t="s">
        <v>11</v>
      </c>
      <c r="F435" s="11" t="s">
        <v>12</v>
      </c>
      <c r="G435">
        <v>28</v>
      </c>
      <c r="H435" s="11" t="s">
        <v>136</v>
      </c>
      <c r="I435" s="11" t="s">
        <v>149</v>
      </c>
      <c r="J435" s="11" t="s">
        <v>13</v>
      </c>
      <c r="K435">
        <v>0</v>
      </c>
      <c r="L435">
        <v>0</v>
      </c>
    </row>
    <row r="436" spans="1:12" x14ac:dyDescent="0.3">
      <c r="A436" s="11" t="s">
        <v>46</v>
      </c>
      <c r="B436" s="11" t="s">
        <v>29</v>
      </c>
      <c r="C436" s="11" t="s">
        <v>48</v>
      </c>
      <c r="D436">
        <v>35</v>
      </c>
      <c r="E436" s="11" t="s">
        <v>25</v>
      </c>
      <c r="F436" s="11" t="s">
        <v>12</v>
      </c>
      <c r="G436">
        <v>30</v>
      </c>
      <c r="H436" s="11" t="s">
        <v>135</v>
      </c>
      <c r="I436" s="11" t="s">
        <v>149</v>
      </c>
      <c r="J436" s="11" t="s">
        <v>21</v>
      </c>
      <c r="K436">
        <v>0</v>
      </c>
      <c r="L436">
        <v>0</v>
      </c>
    </row>
    <row r="437" spans="1:12" x14ac:dyDescent="0.3">
      <c r="A437" s="11" t="s">
        <v>8</v>
      </c>
      <c r="B437" s="11" t="s">
        <v>40</v>
      </c>
      <c r="C437" s="11" t="s">
        <v>86</v>
      </c>
      <c r="D437">
        <v>4</v>
      </c>
      <c r="E437" s="11" t="s">
        <v>11</v>
      </c>
      <c r="F437" s="11" t="s">
        <v>12</v>
      </c>
      <c r="G437">
        <v>44</v>
      </c>
      <c r="H437" s="11" t="s">
        <v>134</v>
      </c>
      <c r="I437" s="11" t="s">
        <v>149</v>
      </c>
      <c r="J437" s="11" t="s">
        <v>28</v>
      </c>
      <c r="K437">
        <v>0</v>
      </c>
      <c r="L437">
        <v>0</v>
      </c>
    </row>
    <row r="438" spans="1:12" x14ac:dyDescent="0.3">
      <c r="A438" s="11" t="s">
        <v>22</v>
      </c>
      <c r="B438" s="11" t="s">
        <v>34</v>
      </c>
      <c r="C438" s="11" t="s">
        <v>126</v>
      </c>
      <c r="D438">
        <v>239</v>
      </c>
      <c r="E438" s="11" t="s">
        <v>25</v>
      </c>
      <c r="F438" s="11" t="s">
        <v>35</v>
      </c>
      <c r="G438">
        <v>36</v>
      </c>
      <c r="H438" s="11" t="s">
        <v>133</v>
      </c>
      <c r="I438" s="11" t="s">
        <v>149</v>
      </c>
      <c r="J438" s="11" t="s">
        <v>32</v>
      </c>
      <c r="K438">
        <v>0</v>
      </c>
      <c r="L438">
        <v>0</v>
      </c>
    </row>
    <row r="439" spans="1:12" x14ac:dyDescent="0.3">
      <c r="A439" s="11" t="s">
        <v>8</v>
      </c>
      <c r="B439" s="11" t="s">
        <v>34</v>
      </c>
      <c r="C439" s="11" t="s">
        <v>126</v>
      </c>
      <c r="D439">
        <v>239</v>
      </c>
      <c r="E439" s="11" t="s">
        <v>11</v>
      </c>
      <c r="F439" s="11" t="s">
        <v>12</v>
      </c>
      <c r="G439">
        <v>66</v>
      </c>
      <c r="H439" s="11" t="s">
        <v>133</v>
      </c>
      <c r="I439" s="11" t="s">
        <v>149</v>
      </c>
      <c r="J439" s="11" t="s">
        <v>27</v>
      </c>
      <c r="K439">
        <v>0</v>
      </c>
      <c r="L439">
        <v>0</v>
      </c>
    </row>
    <row r="440" spans="1:12" x14ac:dyDescent="0.3">
      <c r="A440" s="11" t="s">
        <v>166</v>
      </c>
      <c r="B440" s="11" t="s">
        <v>29</v>
      </c>
      <c r="C440" s="11" t="s">
        <v>30</v>
      </c>
      <c r="D440">
        <v>34</v>
      </c>
      <c r="E440" s="11" t="s">
        <v>158</v>
      </c>
      <c r="F440" s="11" t="s">
        <v>12</v>
      </c>
      <c r="G440">
        <v>24</v>
      </c>
      <c r="H440" s="11" t="s">
        <v>133</v>
      </c>
      <c r="I440" s="11" t="s">
        <v>149</v>
      </c>
      <c r="J440" s="11" t="s">
        <v>17</v>
      </c>
      <c r="K440">
        <v>0</v>
      </c>
      <c r="L440">
        <v>0</v>
      </c>
    </row>
    <row r="441" spans="1:12" x14ac:dyDescent="0.3">
      <c r="A441" s="11" t="s">
        <v>8</v>
      </c>
      <c r="B441" s="11" t="s">
        <v>64</v>
      </c>
      <c r="C441" s="11" t="s">
        <v>65</v>
      </c>
      <c r="D441">
        <v>32</v>
      </c>
      <c r="E441" s="11" t="s">
        <v>11</v>
      </c>
      <c r="F441" s="11" t="s">
        <v>12</v>
      </c>
      <c r="G441">
        <v>51</v>
      </c>
      <c r="H441" s="11" t="s">
        <v>132</v>
      </c>
      <c r="I441" s="11" t="s">
        <v>149</v>
      </c>
      <c r="J441" s="11" t="s">
        <v>60</v>
      </c>
      <c r="K441">
        <v>1</v>
      </c>
      <c r="L441">
        <v>0</v>
      </c>
    </row>
    <row r="442" spans="1:12" x14ac:dyDescent="0.3">
      <c r="A442" s="11" t="s">
        <v>22</v>
      </c>
      <c r="B442" s="11" t="s">
        <v>14</v>
      </c>
      <c r="C442" s="11" t="s">
        <v>61</v>
      </c>
      <c r="D442">
        <v>34</v>
      </c>
      <c r="E442" s="11" t="s">
        <v>16</v>
      </c>
      <c r="F442" s="11" t="s">
        <v>12</v>
      </c>
      <c r="G442">
        <v>66</v>
      </c>
      <c r="H442" s="11" t="s">
        <v>136</v>
      </c>
      <c r="I442" s="11" t="s">
        <v>150</v>
      </c>
      <c r="J442" s="11" t="s">
        <v>27</v>
      </c>
      <c r="K442">
        <v>0</v>
      </c>
      <c r="L442">
        <v>0</v>
      </c>
    </row>
    <row r="443" spans="1:12" x14ac:dyDescent="0.3">
      <c r="A443" s="11" t="s">
        <v>46</v>
      </c>
      <c r="B443" s="11" t="s">
        <v>64</v>
      </c>
      <c r="C443" s="11" t="s">
        <v>70</v>
      </c>
      <c r="D443">
        <v>249</v>
      </c>
      <c r="E443" s="11" t="s">
        <v>11</v>
      </c>
      <c r="F443" s="11" t="s">
        <v>12</v>
      </c>
      <c r="G443">
        <v>19</v>
      </c>
      <c r="H443" s="11" t="s">
        <v>135</v>
      </c>
      <c r="I443" s="11" t="s">
        <v>150</v>
      </c>
      <c r="J443" s="11" t="s">
        <v>31</v>
      </c>
      <c r="K443">
        <v>0</v>
      </c>
      <c r="L443">
        <v>1</v>
      </c>
    </row>
    <row r="444" spans="1:12" x14ac:dyDescent="0.3">
      <c r="A444" s="11" t="s">
        <v>8</v>
      </c>
      <c r="B444" s="11" t="s">
        <v>34</v>
      </c>
      <c r="C444" s="11" t="s">
        <v>34</v>
      </c>
      <c r="D444">
        <v>39</v>
      </c>
      <c r="E444" s="11" t="s">
        <v>11</v>
      </c>
      <c r="F444" s="11" t="s">
        <v>12</v>
      </c>
      <c r="G444">
        <v>36</v>
      </c>
      <c r="H444" s="11" t="s">
        <v>135</v>
      </c>
      <c r="I444" s="11" t="s">
        <v>150</v>
      </c>
      <c r="J444" s="11" t="s">
        <v>32</v>
      </c>
      <c r="K444">
        <v>0</v>
      </c>
      <c r="L444">
        <v>0</v>
      </c>
    </row>
    <row r="445" spans="1:12" x14ac:dyDescent="0.3">
      <c r="A445" s="11" t="s">
        <v>8</v>
      </c>
      <c r="B445" s="11" t="s">
        <v>64</v>
      </c>
      <c r="C445" s="11" t="s">
        <v>101</v>
      </c>
      <c r="D445">
        <v>415</v>
      </c>
      <c r="E445" s="11" t="s">
        <v>11</v>
      </c>
      <c r="F445" s="11" t="s">
        <v>12</v>
      </c>
      <c r="G445">
        <v>27</v>
      </c>
      <c r="H445" s="11" t="s">
        <v>135</v>
      </c>
      <c r="I445" s="11" t="s">
        <v>150</v>
      </c>
      <c r="J445" s="11" t="s">
        <v>13</v>
      </c>
      <c r="K445">
        <v>0</v>
      </c>
      <c r="L445">
        <v>0</v>
      </c>
    </row>
    <row r="446" spans="1:12" x14ac:dyDescent="0.3">
      <c r="A446" s="11" t="s">
        <v>166</v>
      </c>
      <c r="B446" s="11" t="s">
        <v>29</v>
      </c>
      <c r="C446" s="11" t="s">
        <v>37</v>
      </c>
      <c r="D446">
        <v>1</v>
      </c>
      <c r="E446" s="11" t="s">
        <v>158</v>
      </c>
      <c r="F446" s="11" t="s">
        <v>35</v>
      </c>
      <c r="G446">
        <v>66</v>
      </c>
      <c r="H446" s="11" t="s">
        <v>134</v>
      </c>
      <c r="I446" s="11" t="s">
        <v>150</v>
      </c>
      <c r="J446" s="11" t="s">
        <v>27</v>
      </c>
      <c r="K446">
        <v>0</v>
      </c>
      <c r="L446">
        <v>0</v>
      </c>
    </row>
    <row r="447" spans="1:12" x14ac:dyDescent="0.3">
      <c r="A447" s="11" t="s">
        <v>166</v>
      </c>
      <c r="B447" s="11" t="s">
        <v>9</v>
      </c>
      <c r="C447" s="11" t="s">
        <v>23</v>
      </c>
      <c r="D447">
        <v>150</v>
      </c>
      <c r="E447" s="11" t="s">
        <v>158</v>
      </c>
      <c r="F447" s="11" t="s">
        <v>12</v>
      </c>
      <c r="G447">
        <v>63</v>
      </c>
      <c r="H447" s="11" t="s">
        <v>133</v>
      </c>
      <c r="I447" s="11" t="s">
        <v>150</v>
      </c>
      <c r="J447" s="11" t="s">
        <v>49</v>
      </c>
      <c r="K447">
        <v>0</v>
      </c>
      <c r="L447">
        <v>0</v>
      </c>
    </row>
    <row r="448" spans="1:12" x14ac:dyDescent="0.3">
      <c r="A448" s="11" t="s">
        <v>8</v>
      </c>
      <c r="B448" s="11" t="s">
        <v>34</v>
      </c>
      <c r="C448" s="11" t="s">
        <v>111</v>
      </c>
      <c r="D448">
        <v>102</v>
      </c>
      <c r="E448" s="11" t="s">
        <v>11</v>
      </c>
      <c r="F448" s="11" t="s">
        <v>12</v>
      </c>
      <c r="G448">
        <v>31</v>
      </c>
      <c r="H448" s="11" t="s">
        <v>132</v>
      </c>
      <c r="I448" s="11" t="s">
        <v>150</v>
      </c>
      <c r="J448" s="11" t="s">
        <v>21</v>
      </c>
      <c r="K448">
        <v>1</v>
      </c>
      <c r="L448">
        <v>0</v>
      </c>
    </row>
    <row r="449" spans="1:12" x14ac:dyDescent="0.3">
      <c r="A449" s="11" t="s">
        <v>22</v>
      </c>
      <c r="B449" s="11" t="s">
        <v>9</v>
      </c>
      <c r="C449" s="11" t="s">
        <v>10</v>
      </c>
      <c r="D449">
        <v>910</v>
      </c>
      <c r="E449" s="11" t="s">
        <v>62</v>
      </c>
      <c r="F449" s="11" t="s">
        <v>35</v>
      </c>
      <c r="G449">
        <v>36</v>
      </c>
      <c r="H449" s="11" t="s">
        <v>132</v>
      </c>
      <c r="I449" s="11" t="s">
        <v>150</v>
      </c>
      <c r="J449" s="11" t="s">
        <v>32</v>
      </c>
      <c r="K449">
        <v>0</v>
      </c>
      <c r="L449">
        <v>0</v>
      </c>
    </row>
    <row r="450" spans="1:12" x14ac:dyDescent="0.3">
      <c r="A450" s="11" t="s">
        <v>46</v>
      </c>
      <c r="B450" s="11" t="s">
        <v>64</v>
      </c>
      <c r="C450" s="11" t="s">
        <v>65</v>
      </c>
      <c r="D450">
        <v>32</v>
      </c>
      <c r="E450" s="11" t="s">
        <v>25</v>
      </c>
      <c r="F450" s="11" t="s">
        <v>12</v>
      </c>
      <c r="G450">
        <v>54</v>
      </c>
      <c r="H450" s="11" t="s">
        <v>132</v>
      </c>
      <c r="I450" s="11" t="s">
        <v>150</v>
      </c>
      <c r="J450" s="11" t="s">
        <v>60</v>
      </c>
      <c r="K450">
        <v>0</v>
      </c>
      <c r="L450">
        <v>0</v>
      </c>
    </row>
    <row r="451" spans="1:12" x14ac:dyDescent="0.3">
      <c r="A451" s="11" t="s">
        <v>8</v>
      </c>
      <c r="B451" s="11" t="s">
        <v>29</v>
      </c>
      <c r="C451" s="11" t="s">
        <v>74</v>
      </c>
      <c r="D451">
        <v>6</v>
      </c>
      <c r="E451" s="11" t="s">
        <v>11</v>
      </c>
      <c r="F451" s="11" t="s">
        <v>12</v>
      </c>
      <c r="G451">
        <v>34</v>
      </c>
      <c r="H451" s="11" t="s">
        <v>132</v>
      </c>
      <c r="I451" s="11" t="s">
        <v>150</v>
      </c>
      <c r="J451" s="11" t="s">
        <v>21</v>
      </c>
      <c r="K451">
        <v>1</v>
      </c>
      <c r="L451">
        <v>0</v>
      </c>
    </row>
    <row r="452" spans="1:12" x14ac:dyDescent="0.3">
      <c r="A452" s="11" t="s">
        <v>8</v>
      </c>
      <c r="B452" s="11" t="s">
        <v>64</v>
      </c>
      <c r="C452" s="11" t="s">
        <v>64</v>
      </c>
      <c r="D452">
        <v>32</v>
      </c>
      <c r="E452" s="11" t="s">
        <v>11</v>
      </c>
      <c r="F452" s="11" t="s">
        <v>12</v>
      </c>
      <c r="G452">
        <v>38</v>
      </c>
      <c r="H452" s="11" t="s">
        <v>138</v>
      </c>
      <c r="I452" s="11" t="s">
        <v>150</v>
      </c>
      <c r="J452" s="11" t="s">
        <v>32</v>
      </c>
      <c r="K452">
        <v>1</v>
      </c>
      <c r="L452">
        <v>0</v>
      </c>
    </row>
    <row r="453" spans="1:12" x14ac:dyDescent="0.3">
      <c r="A453" s="11" t="s">
        <v>8</v>
      </c>
      <c r="B453" s="11" t="s">
        <v>34</v>
      </c>
      <c r="C453" s="11" t="s">
        <v>80</v>
      </c>
      <c r="D453">
        <v>27</v>
      </c>
      <c r="E453" s="11" t="s">
        <v>11</v>
      </c>
      <c r="F453" s="11" t="s">
        <v>12</v>
      </c>
      <c r="G453" t="s">
        <v>68</v>
      </c>
      <c r="H453" s="11" t="s">
        <v>138</v>
      </c>
      <c r="I453" s="11" t="s">
        <v>150</v>
      </c>
      <c r="J453" s="11" t="s">
        <v>68</v>
      </c>
      <c r="K453">
        <v>1</v>
      </c>
      <c r="L453">
        <v>0</v>
      </c>
    </row>
    <row r="454" spans="1:12" x14ac:dyDescent="0.3">
      <c r="A454" s="11" t="s">
        <v>8</v>
      </c>
      <c r="B454" s="11" t="s">
        <v>29</v>
      </c>
      <c r="C454" s="11" t="s">
        <v>29</v>
      </c>
      <c r="D454" t="s">
        <v>24</v>
      </c>
      <c r="E454" s="11" t="s">
        <v>39</v>
      </c>
      <c r="F454" s="11" t="s">
        <v>12</v>
      </c>
      <c r="G454">
        <v>40</v>
      </c>
      <c r="H454" s="11" t="s">
        <v>138</v>
      </c>
      <c r="I454" s="11" t="s">
        <v>150</v>
      </c>
      <c r="J454" s="11" t="s">
        <v>28</v>
      </c>
      <c r="K454">
        <v>0</v>
      </c>
      <c r="L454">
        <v>0</v>
      </c>
    </row>
    <row r="455" spans="1:12" x14ac:dyDescent="0.3">
      <c r="A455" s="11" t="s">
        <v>22</v>
      </c>
      <c r="B455" s="11" t="s">
        <v>29</v>
      </c>
      <c r="C455" s="11" t="s">
        <v>48</v>
      </c>
      <c r="D455">
        <v>140</v>
      </c>
      <c r="E455" s="11" t="s">
        <v>11</v>
      </c>
      <c r="F455" s="11" t="s">
        <v>12</v>
      </c>
      <c r="G455">
        <v>31</v>
      </c>
      <c r="H455" s="11" t="s">
        <v>138</v>
      </c>
      <c r="I455" s="11" t="s">
        <v>150</v>
      </c>
      <c r="J455" s="11" t="s">
        <v>21</v>
      </c>
      <c r="K455">
        <v>1</v>
      </c>
      <c r="L455">
        <v>0</v>
      </c>
    </row>
    <row r="456" spans="1:12" x14ac:dyDescent="0.3">
      <c r="A456" s="11" t="s">
        <v>8</v>
      </c>
      <c r="B456" s="11" t="s">
        <v>40</v>
      </c>
      <c r="C456" s="11" t="s">
        <v>40</v>
      </c>
      <c r="D456">
        <v>1</v>
      </c>
      <c r="E456" s="11" t="s">
        <v>11</v>
      </c>
      <c r="F456" s="11" t="s">
        <v>35</v>
      </c>
      <c r="G456">
        <v>52</v>
      </c>
      <c r="H456" s="11" t="s">
        <v>138</v>
      </c>
      <c r="I456" s="11" t="s">
        <v>150</v>
      </c>
      <c r="J456" s="11" t="s">
        <v>60</v>
      </c>
      <c r="K456">
        <v>1</v>
      </c>
      <c r="L456">
        <v>0</v>
      </c>
    </row>
    <row r="457" spans="1:12" x14ac:dyDescent="0.3">
      <c r="A457" s="11" t="s">
        <v>8</v>
      </c>
      <c r="B457" s="11" t="s">
        <v>40</v>
      </c>
      <c r="C457" s="11" t="s">
        <v>40</v>
      </c>
      <c r="D457">
        <v>1</v>
      </c>
      <c r="E457" s="11" t="s">
        <v>16</v>
      </c>
      <c r="F457" s="11" t="s">
        <v>35</v>
      </c>
      <c r="G457">
        <v>42</v>
      </c>
      <c r="H457" s="11" t="s">
        <v>138</v>
      </c>
      <c r="I457" s="11" t="s">
        <v>150</v>
      </c>
      <c r="J457" s="11" t="s">
        <v>28</v>
      </c>
      <c r="K457">
        <v>0</v>
      </c>
      <c r="L457">
        <v>0</v>
      </c>
    </row>
    <row r="458" spans="1:12" x14ac:dyDescent="0.3">
      <c r="A458" s="11" t="s">
        <v>22</v>
      </c>
      <c r="B458" s="11" t="s">
        <v>14</v>
      </c>
      <c r="C458" s="11" t="s">
        <v>66</v>
      </c>
      <c r="D458">
        <v>245</v>
      </c>
      <c r="E458" s="11" t="s">
        <v>11</v>
      </c>
      <c r="F458" s="11" t="s">
        <v>12</v>
      </c>
      <c r="G458">
        <v>18</v>
      </c>
      <c r="H458" s="11" t="s">
        <v>137</v>
      </c>
      <c r="I458" s="11" t="s">
        <v>150</v>
      </c>
      <c r="J458" s="11" t="s">
        <v>31</v>
      </c>
      <c r="K458">
        <v>0</v>
      </c>
      <c r="L458">
        <v>1</v>
      </c>
    </row>
    <row r="459" spans="1:12" x14ac:dyDescent="0.3">
      <c r="A459" s="11" t="s">
        <v>46</v>
      </c>
      <c r="B459" s="11" t="s">
        <v>64</v>
      </c>
      <c r="C459" s="11" t="s">
        <v>73</v>
      </c>
      <c r="D459">
        <v>36</v>
      </c>
      <c r="E459" s="11" t="s">
        <v>11</v>
      </c>
      <c r="F459" s="11" t="s">
        <v>12</v>
      </c>
      <c r="G459">
        <v>68</v>
      </c>
      <c r="H459" s="11" t="s">
        <v>137</v>
      </c>
      <c r="I459" s="11" t="s">
        <v>150</v>
      </c>
      <c r="J459" s="11" t="s">
        <v>27</v>
      </c>
      <c r="K459">
        <v>0</v>
      </c>
      <c r="L459">
        <v>0</v>
      </c>
    </row>
    <row r="460" spans="1:12" x14ac:dyDescent="0.3">
      <c r="A460" s="11" t="s">
        <v>166</v>
      </c>
      <c r="B460" s="11" t="s">
        <v>14</v>
      </c>
      <c r="C460" s="11" t="s">
        <v>14</v>
      </c>
      <c r="D460">
        <v>17</v>
      </c>
      <c r="E460" s="11" t="s">
        <v>158</v>
      </c>
      <c r="F460" s="11" t="s">
        <v>12</v>
      </c>
      <c r="G460">
        <v>48</v>
      </c>
      <c r="H460" s="11" t="s">
        <v>137</v>
      </c>
      <c r="I460" s="11" t="s">
        <v>150</v>
      </c>
      <c r="J460" s="11" t="s">
        <v>19</v>
      </c>
      <c r="K460">
        <v>0</v>
      </c>
      <c r="L460">
        <v>0</v>
      </c>
    </row>
    <row r="461" spans="1:12" x14ac:dyDescent="0.3">
      <c r="A461" s="11" t="s">
        <v>8</v>
      </c>
      <c r="B461" s="11" t="s">
        <v>29</v>
      </c>
      <c r="C461" s="11" t="s">
        <v>105</v>
      </c>
      <c r="D461">
        <v>1</v>
      </c>
      <c r="E461" s="11" t="s">
        <v>11</v>
      </c>
      <c r="F461" s="11" t="s">
        <v>12</v>
      </c>
      <c r="G461">
        <v>29</v>
      </c>
      <c r="H461" s="11" t="s">
        <v>136</v>
      </c>
      <c r="I461" s="11" t="s">
        <v>150</v>
      </c>
      <c r="J461" s="11" t="s">
        <v>13</v>
      </c>
      <c r="K461">
        <v>0</v>
      </c>
      <c r="L461">
        <v>0</v>
      </c>
    </row>
    <row r="462" spans="1:12" x14ac:dyDescent="0.3">
      <c r="A462" s="11" t="s">
        <v>8</v>
      </c>
      <c r="B462" s="11" t="s">
        <v>34</v>
      </c>
      <c r="C462" s="11" t="s">
        <v>34</v>
      </c>
      <c r="D462" t="s">
        <v>24</v>
      </c>
      <c r="E462" s="11" t="s">
        <v>11</v>
      </c>
      <c r="F462" s="11" t="s">
        <v>12</v>
      </c>
      <c r="G462">
        <v>53</v>
      </c>
      <c r="H462" s="11" t="s">
        <v>135</v>
      </c>
      <c r="I462" s="11" t="s">
        <v>150</v>
      </c>
      <c r="J462" s="11" t="s">
        <v>60</v>
      </c>
      <c r="K462">
        <v>0</v>
      </c>
      <c r="L462">
        <v>0</v>
      </c>
    </row>
    <row r="463" spans="1:12" x14ac:dyDescent="0.3">
      <c r="A463" s="11" t="s">
        <v>166</v>
      </c>
      <c r="B463" s="11" t="s">
        <v>14</v>
      </c>
      <c r="C463" s="11" t="s">
        <v>45</v>
      </c>
      <c r="D463">
        <v>2</v>
      </c>
      <c r="E463" s="11" t="s">
        <v>158</v>
      </c>
      <c r="F463" s="11" t="s">
        <v>12</v>
      </c>
      <c r="G463">
        <v>81</v>
      </c>
      <c r="H463" s="11" t="s">
        <v>134</v>
      </c>
      <c r="I463" s="11" t="s">
        <v>150</v>
      </c>
      <c r="J463" s="11" t="s">
        <v>42</v>
      </c>
      <c r="K463">
        <v>0</v>
      </c>
      <c r="L463">
        <v>0</v>
      </c>
    </row>
    <row r="464" spans="1:12" x14ac:dyDescent="0.3">
      <c r="A464" s="11" t="s">
        <v>166</v>
      </c>
      <c r="B464" s="11" t="s">
        <v>34</v>
      </c>
      <c r="C464" s="11" t="s">
        <v>78</v>
      </c>
      <c r="D464">
        <v>27</v>
      </c>
      <c r="E464" s="11" t="s">
        <v>158</v>
      </c>
      <c r="F464" s="11" t="s">
        <v>12</v>
      </c>
      <c r="G464">
        <v>47</v>
      </c>
      <c r="H464" s="11" t="s">
        <v>134</v>
      </c>
      <c r="I464" s="11" t="s">
        <v>150</v>
      </c>
      <c r="J464" s="11" t="s">
        <v>19</v>
      </c>
      <c r="K464">
        <v>0</v>
      </c>
      <c r="L464">
        <v>0</v>
      </c>
    </row>
    <row r="465" spans="1:12" x14ac:dyDescent="0.3">
      <c r="A465" s="11" t="s">
        <v>87</v>
      </c>
      <c r="B465" s="11" t="s">
        <v>14</v>
      </c>
      <c r="C465" s="11" t="s">
        <v>41</v>
      </c>
      <c r="D465">
        <v>34</v>
      </c>
      <c r="E465" s="11" t="s">
        <v>16</v>
      </c>
      <c r="F465" s="11" t="s">
        <v>35</v>
      </c>
      <c r="G465">
        <v>28</v>
      </c>
      <c r="H465" s="11" t="s">
        <v>133</v>
      </c>
      <c r="I465" s="11" t="s">
        <v>150</v>
      </c>
      <c r="J465" s="11" t="s">
        <v>13</v>
      </c>
      <c r="K465">
        <v>0</v>
      </c>
      <c r="L465">
        <v>0</v>
      </c>
    </row>
    <row r="466" spans="1:12" x14ac:dyDescent="0.3">
      <c r="A466" s="11" t="s">
        <v>166</v>
      </c>
      <c r="B466" s="11" t="s">
        <v>29</v>
      </c>
      <c r="C466" s="11" t="s">
        <v>29</v>
      </c>
      <c r="D466" t="s">
        <v>24</v>
      </c>
      <c r="E466" s="11" t="s">
        <v>158</v>
      </c>
      <c r="F466" s="11" t="s">
        <v>12</v>
      </c>
      <c r="G466">
        <v>71</v>
      </c>
      <c r="H466" s="11" t="s">
        <v>133</v>
      </c>
      <c r="I466" s="11" t="s">
        <v>150</v>
      </c>
      <c r="J466" s="11" t="s">
        <v>94</v>
      </c>
      <c r="K466">
        <v>0</v>
      </c>
      <c r="L466">
        <v>0</v>
      </c>
    </row>
    <row r="467" spans="1:12" x14ac:dyDescent="0.3">
      <c r="A467" s="11" t="s">
        <v>87</v>
      </c>
      <c r="B467" s="11" t="s">
        <v>34</v>
      </c>
      <c r="C467" s="11" t="s">
        <v>111</v>
      </c>
      <c r="D467">
        <v>32</v>
      </c>
      <c r="E467" s="11" t="s">
        <v>25</v>
      </c>
      <c r="F467" s="11" t="s">
        <v>12</v>
      </c>
      <c r="G467">
        <v>56</v>
      </c>
      <c r="H467" s="11" t="s">
        <v>133</v>
      </c>
      <c r="I467" s="11" t="s">
        <v>150</v>
      </c>
      <c r="J467" s="11" t="s">
        <v>36</v>
      </c>
      <c r="K467">
        <v>0</v>
      </c>
      <c r="L467">
        <v>0</v>
      </c>
    </row>
    <row r="468" spans="1:12" x14ac:dyDescent="0.3">
      <c r="A468" s="11" t="s">
        <v>8</v>
      </c>
      <c r="B468" s="11" t="s">
        <v>34</v>
      </c>
      <c r="C468" s="11" t="s">
        <v>79</v>
      </c>
      <c r="D468" t="s">
        <v>24</v>
      </c>
      <c r="E468" s="11" t="s">
        <v>25</v>
      </c>
      <c r="F468" s="11" t="s">
        <v>12</v>
      </c>
      <c r="G468">
        <v>25</v>
      </c>
      <c r="H468" s="11" t="s">
        <v>133</v>
      </c>
      <c r="I468" s="11" t="s">
        <v>150</v>
      </c>
      <c r="J468" s="11" t="s">
        <v>13</v>
      </c>
      <c r="K468">
        <v>0</v>
      </c>
      <c r="L468">
        <v>0</v>
      </c>
    </row>
    <row r="469" spans="1:12" x14ac:dyDescent="0.3">
      <c r="A469" s="11" t="s">
        <v>8</v>
      </c>
      <c r="B469" s="11" t="s">
        <v>34</v>
      </c>
      <c r="C469" s="11" t="s">
        <v>78</v>
      </c>
      <c r="D469" t="s">
        <v>24</v>
      </c>
      <c r="E469" s="11" t="s">
        <v>62</v>
      </c>
      <c r="F469" s="11" t="s">
        <v>35</v>
      </c>
      <c r="G469">
        <v>20</v>
      </c>
      <c r="H469" s="11" t="s">
        <v>133</v>
      </c>
      <c r="I469" s="11" t="s">
        <v>150</v>
      </c>
      <c r="J469" s="11" t="s">
        <v>17</v>
      </c>
      <c r="K469">
        <v>0</v>
      </c>
      <c r="L469">
        <v>0</v>
      </c>
    </row>
    <row r="470" spans="1:12" x14ac:dyDescent="0.3">
      <c r="A470" s="11" t="s">
        <v>8</v>
      </c>
      <c r="B470" s="11" t="s">
        <v>14</v>
      </c>
      <c r="C470" s="11" t="s">
        <v>61</v>
      </c>
      <c r="D470">
        <v>34</v>
      </c>
      <c r="E470" s="11" t="s">
        <v>11</v>
      </c>
      <c r="F470" s="11" t="s">
        <v>12</v>
      </c>
      <c r="G470" t="s">
        <v>68</v>
      </c>
      <c r="H470" s="11" t="s">
        <v>132</v>
      </c>
      <c r="I470" s="11" t="s">
        <v>150</v>
      </c>
      <c r="J470" s="11" t="s">
        <v>68</v>
      </c>
      <c r="K470">
        <v>1</v>
      </c>
      <c r="L470">
        <v>0</v>
      </c>
    </row>
    <row r="471" spans="1:12" x14ac:dyDescent="0.3">
      <c r="A471" s="11" t="s">
        <v>22</v>
      </c>
      <c r="B471" s="11" t="s">
        <v>29</v>
      </c>
      <c r="C471" s="11" t="s">
        <v>127</v>
      </c>
      <c r="D471" t="s">
        <v>24</v>
      </c>
      <c r="E471" s="11" t="s">
        <v>25</v>
      </c>
      <c r="F471" s="11" t="s">
        <v>12</v>
      </c>
      <c r="G471">
        <v>70</v>
      </c>
      <c r="H471" s="11" t="s">
        <v>132</v>
      </c>
      <c r="I471" s="11" t="s">
        <v>150</v>
      </c>
      <c r="J471" s="11" t="s">
        <v>94</v>
      </c>
      <c r="K471">
        <v>0</v>
      </c>
      <c r="L471">
        <v>0</v>
      </c>
    </row>
    <row r="472" spans="1:12" x14ac:dyDescent="0.3">
      <c r="A472" s="11" t="s">
        <v>8</v>
      </c>
      <c r="B472" s="11" t="s">
        <v>14</v>
      </c>
      <c r="C472" s="11" t="s">
        <v>15</v>
      </c>
      <c r="D472">
        <v>34</v>
      </c>
      <c r="E472" s="11" t="s">
        <v>11</v>
      </c>
      <c r="F472" s="11" t="s">
        <v>12</v>
      </c>
      <c r="G472">
        <v>60</v>
      </c>
      <c r="H472" s="11" t="s">
        <v>138</v>
      </c>
      <c r="I472" s="11" t="s">
        <v>150</v>
      </c>
      <c r="J472" s="11" t="s">
        <v>49</v>
      </c>
      <c r="K472">
        <v>1</v>
      </c>
      <c r="L472">
        <v>0</v>
      </c>
    </row>
    <row r="473" spans="1:12" x14ac:dyDescent="0.3">
      <c r="A473" s="11" t="s">
        <v>166</v>
      </c>
      <c r="B473" s="11" t="s">
        <v>14</v>
      </c>
      <c r="C473" s="11" t="s">
        <v>71</v>
      </c>
      <c r="D473">
        <v>1</v>
      </c>
      <c r="E473" s="11" t="s">
        <v>158</v>
      </c>
      <c r="F473" s="11" t="s">
        <v>12</v>
      </c>
      <c r="G473">
        <v>61</v>
      </c>
      <c r="H473" s="11" t="s">
        <v>138</v>
      </c>
      <c r="I473" s="11" t="s">
        <v>150</v>
      </c>
      <c r="J473" s="11" t="s">
        <v>49</v>
      </c>
      <c r="K473">
        <v>0</v>
      </c>
      <c r="L473">
        <v>0</v>
      </c>
    </row>
    <row r="474" spans="1:12" x14ac:dyDescent="0.3">
      <c r="A474" s="11" t="s">
        <v>8</v>
      </c>
      <c r="B474" s="11" t="s">
        <v>64</v>
      </c>
      <c r="C474" s="11" t="s">
        <v>64</v>
      </c>
      <c r="D474">
        <v>32</v>
      </c>
      <c r="E474" s="11" t="s">
        <v>11</v>
      </c>
      <c r="F474" s="11" t="s">
        <v>12</v>
      </c>
      <c r="G474">
        <v>19</v>
      </c>
      <c r="H474" s="11" t="s">
        <v>138</v>
      </c>
      <c r="I474" s="11" t="s">
        <v>150</v>
      </c>
      <c r="J474" s="11" t="s">
        <v>31</v>
      </c>
      <c r="K474">
        <v>1</v>
      </c>
      <c r="L474">
        <v>1</v>
      </c>
    </row>
    <row r="475" spans="1:12" x14ac:dyDescent="0.3">
      <c r="A475" s="11" t="s">
        <v>8</v>
      </c>
      <c r="B475" s="11" t="s">
        <v>29</v>
      </c>
      <c r="C475" s="11" t="s">
        <v>29</v>
      </c>
      <c r="D475">
        <v>1</v>
      </c>
      <c r="E475" s="11" t="s">
        <v>11</v>
      </c>
      <c r="F475" s="11" t="s">
        <v>12</v>
      </c>
      <c r="G475">
        <v>34</v>
      </c>
      <c r="H475" s="11" t="s">
        <v>137</v>
      </c>
      <c r="I475" s="11" t="s">
        <v>150</v>
      </c>
      <c r="J475" s="11" t="s">
        <v>21</v>
      </c>
      <c r="K475">
        <v>0</v>
      </c>
      <c r="L475">
        <v>0</v>
      </c>
    </row>
    <row r="476" spans="1:12" x14ac:dyDescent="0.3">
      <c r="A476" s="11" t="s">
        <v>8</v>
      </c>
      <c r="B476" s="11" t="s">
        <v>29</v>
      </c>
      <c r="C476" s="11" t="s">
        <v>48</v>
      </c>
      <c r="D476">
        <v>250</v>
      </c>
      <c r="E476" s="11" t="s">
        <v>11</v>
      </c>
      <c r="F476" s="11" t="s">
        <v>12</v>
      </c>
      <c r="G476">
        <v>43</v>
      </c>
      <c r="H476" s="11" t="s">
        <v>137</v>
      </c>
      <c r="I476" s="11" t="s">
        <v>150</v>
      </c>
      <c r="J476" s="11" t="s">
        <v>28</v>
      </c>
      <c r="K476">
        <v>0</v>
      </c>
      <c r="L476">
        <v>0</v>
      </c>
    </row>
    <row r="477" spans="1:12" x14ac:dyDescent="0.3">
      <c r="A477" s="11" t="s">
        <v>22</v>
      </c>
      <c r="B477" s="11" t="s">
        <v>14</v>
      </c>
      <c r="C477" s="11" t="s">
        <v>66</v>
      </c>
      <c r="D477" t="s">
        <v>24</v>
      </c>
      <c r="E477" s="11" t="s">
        <v>25</v>
      </c>
      <c r="F477" s="11" t="s">
        <v>12</v>
      </c>
      <c r="G477">
        <v>43</v>
      </c>
      <c r="H477" s="11" t="s">
        <v>136</v>
      </c>
      <c r="I477" s="11" t="s">
        <v>150</v>
      </c>
      <c r="J477" s="11" t="s">
        <v>28</v>
      </c>
      <c r="K477">
        <v>0</v>
      </c>
      <c r="L477">
        <v>0</v>
      </c>
    </row>
    <row r="478" spans="1:12" x14ac:dyDescent="0.3">
      <c r="A478" s="11" t="s">
        <v>8</v>
      </c>
      <c r="B478" s="11" t="s">
        <v>29</v>
      </c>
      <c r="C478" s="11" t="s">
        <v>48</v>
      </c>
      <c r="D478">
        <v>4</v>
      </c>
      <c r="E478" s="11" t="s">
        <v>11</v>
      </c>
      <c r="F478" s="11" t="s">
        <v>12</v>
      </c>
      <c r="G478">
        <v>55</v>
      </c>
      <c r="H478" s="11" t="s">
        <v>135</v>
      </c>
      <c r="I478" s="11" t="s">
        <v>150</v>
      </c>
      <c r="J478" s="11" t="s">
        <v>36</v>
      </c>
      <c r="K478">
        <v>0</v>
      </c>
      <c r="L478">
        <v>0</v>
      </c>
    </row>
    <row r="479" spans="1:12" x14ac:dyDescent="0.3">
      <c r="A479" s="11" t="s">
        <v>8</v>
      </c>
      <c r="B479" s="11" t="s">
        <v>29</v>
      </c>
      <c r="C479" s="11" t="s">
        <v>29</v>
      </c>
      <c r="D479">
        <v>153</v>
      </c>
      <c r="E479" s="11" t="s">
        <v>11</v>
      </c>
      <c r="F479" s="11" t="s">
        <v>12</v>
      </c>
      <c r="G479">
        <v>62</v>
      </c>
      <c r="H479" s="11" t="s">
        <v>135</v>
      </c>
      <c r="I479" s="11" t="s">
        <v>150</v>
      </c>
      <c r="J479" s="11" t="s">
        <v>49</v>
      </c>
      <c r="K479">
        <v>0</v>
      </c>
      <c r="L479">
        <v>0</v>
      </c>
    </row>
    <row r="480" spans="1:12" x14ac:dyDescent="0.3">
      <c r="A480" s="11" t="s">
        <v>46</v>
      </c>
      <c r="B480" s="11" t="s">
        <v>9</v>
      </c>
      <c r="C480" s="11" t="s">
        <v>23</v>
      </c>
      <c r="D480" t="s">
        <v>24</v>
      </c>
      <c r="E480" s="11" t="s">
        <v>25</v>
      </c>
      <c r="F480" s="11" t="s">
        <v>12</v>
      </c>
      <c r="G480">
        <v>60</v>
      </c>
      <c r="H480" s="11" t="s">
        <v>135</v>
      </c>
      <c r="I480" s="11" t="s">
        <v>150</v>
      </c>
      <c r="J480" s="11" t="s">
        <v>49</v>
      </c>
      <c r="K480">
        <v>0</v>
      </c>
      <c r="L480">
        <v>0</v>
      </c>
    </row>
    <row r="481" spans="1:12" x14ac:dyDescent="0.3">
      <c r="A481" s="11" t="s">
        <v>8</v>
      </c>
      <c r="B481" s="11" t="s">
        <v>64</v>
      </c>
      <c r="C481" s="11" t="s">
        <v>64</v>
      </c>
      <c r="D481">
        <v>234</v>
      </c>
      <c r="E481" s="11" t="s">
        <v>11</v>
      </c>
      <c r="F481" s="11" t="s">
        <v>12</v>
      </c>
      <c r="G481">
        <v>22</v>
      </c>
      <c r="H481" s="11" t="s">
        <v>135</v>
      </c>
      <c r="I481" s="11" t="s">
        <v>150</v>
      </c>
      <c r="J481" s="11" t="s">
        <v>17</v>
      </c>
      <c r="K481">
        <v>0</v>
      </c>
      <c r="L481">
        <v>0</v>
      </c>
    </row>
    <row r="482" spans="1:12" x14ac:dyDescent="0.3">
      <c r="A482" s="11" t="s">
        <v>91</v>
      </c>
      <c r="B482" s="11" t="s">
        <v>34</v>
      </c>
      <c r="C482" s="11" t="s">
        <v>59</v>
      </c>
      <c r="D482" t="s">
        <v>24</v>
      </c>
      <c r="E482" s="11" t="s">
        <v>11</v>
      </c>
      <c r="F482" s="11" t="s">
        <v>35</v>
      </c>
      <c r="G482">
        <v>25</v>
      </c>
      <c r="H482" s="11" t="s">
        <v>135</v>
      </c>
      <c r="I482" s="11" t="s">
        <v>150</v>
      </c>
      <c r="J482" s="11" t="s">
        <v>13</v>
      </c>
      <c r="K482">
        <v>0</v>
      </c>
      <c r="L482">
        <v>0</v>
      </c>
    </row>
    <row r="483" spans="1:12" x14ac:dyDescent="0.3">
      <c r="A483" s="11" t="s">
        <v>8</v>
      </c>
      <c r="B483" s="11" t="s">
        <v>34</v>
      </c>
      <c r="C483" s="11" t="s">
        <v>84</v>
      </c>
      <c r="D483">
        <v>2</v>
      </c>
      <c r="E483" s="11" t="s">
        <v>11</v>
      </c>
      <c r="F483" s="11" t="s">
        <v>12</v>
      </c>
      <c r="G483">
        <v>34</v>
      </c>
      <c r="H483" s="11" t="s">
        <v>134</v>
      </c>
      <c r="I483" s="11" t="s">
        <v>150</v>
      </c>
      <c r="J483" s="11" t="s">
        <v>21</v>
      </c>
      <c r="K483">
        <v>0</v>
      </c>
      <c r="L483">
        <v>0</v>
      </c>
    </row>
    <row r="484" spans="1:12" x14ac:dyDescent="0.3">
      <c r="A484" s="11" t="s">
        <v>22</v>
      </c>
      <c r="B484" s="11" t="s">
        <v>14</v>
      </c>
      <c r="C484" s="11" t="s">
        <v>66</v>
      </c>
      <c r="D484">
        <v>245</v>
      </c>
      <c r="E484" s="11" t="s">
        <v>11</v>
      </c>
      <c r="F484" s="11" t="s">
        <v>12</v>
      </c>
      <c r="G484">
        <v>31</v>
      </c>
      <c r="H484" s="11" t="s">
        <v>133</v>
      </c>
      <c r="I484" s="11" t="s">
        <v>150</v>
      </c>
      <c r="J484" s="11" t="s">
        <v>21</v>
      </c>
      <c r="K484">
        <v>0</v>
      </c>
      <c r="L484">
        <v>0</v>
      </c>
    </row>
    <row r="485" spans="1:12" x14ac:dyDescent="0.3">
      <c r="A485" s="11" t="s">
        <v>8</v>
      </c>
      <c r="B485" s="11" t="s">
        <v>34</v>
      </c>
      <c r="C485" s="11" t="s">
        <v>79</v>
      </c>
      <c r="D485" t="s">
        <v>24</v>
      </c>
      <c r="E485" s="11" t="s">
        <v>11</v>
      </c>
      <c r="F485" s="11" t="s">
        <v>12</v>
      </c>
      <c r="G485">
        <v>26</v>
      </c>
      <c r="H485" s="11" t="s">
        <v>132</v>
      </c>
      <c r="I485" s="11" t="s">
        <v>150</v>
      </c>
      <c r="J485" s="11" t="s">
        <v>13</v>
      </c>
      <c r="K485">
        <v>1</v>
      </c>
      <c r="L485">
        <v>0</v>
      </c>
    </row>
    <row r="486" spans="1:12" x14ac:dyDescent="0.3">
      <c r="A486" s="11" t="s">
        <v>166</v>
      </c>
      <c r="B486" s="11" t="s">
        <v>64</v>
      </c>
      <c r="C486" s="11" t="s">
        <v>120</v>
      </c>
      <c r="D486" t="s">
        <v>24</v>
      </c>
      <c r="E486" s="11" t="s">
        <v>62</v>
      </c>
      <c r="F486" s="11" t="s">
        <v>35</v>
      </c>
      <c r="G486">
        <v>19</v>
      </c>
      <c r="H486" s="11" t="s">
        <v>132</v>
      </c>
      <c r="I486" s="11" t="s">
        <v>150</v>
      </c>
      <c r="J486" s="11" t="s">
        <v>31</v>
      </c>
      <c r="K486">
        <v>0</v>
      </c>
      <c r="L486">
        <v>0</v>
      </c>
    </row>
    <row r="487" spans="1:12" x14ac:dyDescent="0.3">
      <c r="A487" s="11" t="s">
        <v>8</v>
      </c>
      <c r="B487" s="11" t="s">
        <v>14</v>
      </c>
      <c r="C487" s="11" t="s">
        <v>18</v>
      </c>
      <c r="D487">
        <v>34</v>
      </c>
      <c r="E487" s="11" t="s">
        <v>11</v>
      </c>
      <c r="F487" s="11" t="s">
        <v>35</v>
      </c>
      <c r="G487">
        <v>35</v>
      </c>
      <c r="H487" s="11" t="s">
        <v>132</v>
      </c>
      <c r="I487" s="11" t="s">
        <v>150</v>
      </c>
      <c r="J487" s="11" t="s">
        <v>32</v>
      </c>
      <c r="K487">
        <v>1</v>
      </c>
      <c r="L487">
        <v>0</v>
      </c>
    </row>
    <row r="488" spans="1:12" x14ac:dyDescent="0.3">
      <c r="A488" s="11" t="s">
        <v>8</v>
      </c>
      <c r="B488" s="11" t="s">
        <v>14</v>
      </c>
      <c r="C488" s="11" t="s">
        <v>88</v>
      </c>
      <c r="D488">
        <v>2</v>
      </c>
      <c r="E488" s="11" t="s">
        <v>25</v>
      </c>
      <c r="F488" s="11" t="s">
        <v>12</v>
      </c>
      <c r="G488">
        <v>61</v>
      </c>
      <c r="H488" s="11" t="s">
        <v>138</v>
      </c>
      <c r="I488" s="11" t="s">
        <v>150</v>
      </c>
      <c r="J488" s="11" t="s">
        <v>49</v>
      </c>
      <c r="K488">
        <v>0</v>
      </c>
      <c r="L488">
        <v>0</v>
      </c>
    </row>
    <row r="489" spans="1:12" x14ac:dyDescent="0.3">
      <c r="A489" s="11" t="s">
        <v>46</v>
      </c>
      <c r="B489" s="11" t="s">
        <v>14</v>
      </c>
      <c r="C489" s="11" t="s">
        <v>90</v>
      </c>
      <c r="D489" t="s">
        <v>24</v>
      </c>
      <c r="E489" s="11" t="s">
        <v>16</v>
      </c>
      <c r="F489" s="11" t="s">
        <v>35</v>
      </c>
      <c r="G489">
        <v>70</v>
      </c>
      <c r="H489" s="11" t="s">
        <v>138</v>
      </c>
      <c r="I489" s="11" t="s">
        <v>150</v>
      </c>
      <c r="J489" s="11" t="s">
        <v>94</v>
      </c>
      <c r="K489">
        <v>0</v>
      </c>
      <c r="L489">
        <v>0</v>
      </c>
    </row>
    <row r="490" spans="1:12" x14ac:dyDescent="0.3">
      <c r="A490" s="11" t="s">
        <v>46</v>
      </c>
      <c r="B490" s="11" t="s">
        <v>14</v>
      </c>
      <c r="C490" s="11" t="s">
        <v>71</v>
      </c>
      <c r="D490" t="s">
        <v>24</v>
      </c>
      <c r="E490" s="11" t="s">
        <v>11</v>
      </c>
      <c r="F490" s="11" t="s">
        <v>12</v>
      </c>
      <c r="G490">
        <v>25</v>
      </c>
      <c r="H490" s="11" t="s">
        <v>138</v>
      </c>
      <c r="I490" s="11" t="s">
        <v>150</v>
      </c>
      <c r="J490" s="11" t="s">
        <v>13</v>
      </c>
      <c r="K490">
        <v>1</v>
      </c>
      <c r="L490">
        <v>0</v>
      </c>
    </row>
    <row r="491" spans="1:12" x14ac:dyDescent="0.3">
      <c r="A491" s="11" t="s">
        <v>46</v>
      </c>
      <c r="B491" s="11" t="s">
        <v>14</v>
      </c>
      <c r="C491" s="11" t="s">
        <v>71</v>
      </c>
      <c r="D491" t="s">
        <v>24</v>
      </c>
      <c r="E491" s="11" t="s">
        <v>11</v>
      </c>
      <c r="F491" s="11" t="s">
        <v>12</v>
      </c>
      <c r="G491">
        <v>31</v>
      </c>
      <c r="H491" s="11" t="s">
        <v>137</v>
      </c>
      <c r="I491" s="11" t="s">
        <v>150</v>
      </c>
      <c r="J491" s="11" t="s">
        <v>21</v>
      </c>
      <c r="K491">
        <v>0</v>
      </c>
      <c r="L491">
        <v>0</v>
      </c>
    </row>
    <row r="492" spans="1:12" x14ac:dyDescent="0.3">
      <c r="A492" s="11" t="s">
        <v>22</v>
      </c>
      <c r="B492" s="11" t="s">
        <v>14</v>
      </c>
      <c r="C492" s="11" t="s">
        <v>71</v>
      </c>
      <c r="D492">
        <v>1</v>
      </c>
      <c r="E492" s="11" t="s">
        <v>62</v>
      </c>
      <c r="F492" s="11" t="s">
        <v>35</v>
      </c>
      <c r="G492">
        <v>26</v>
      </c>
      <c r="H492" s="11" t="s">
        <v>137</v>
      </c>
      <c r="I492" s="11" t="s">
        <v>150</v>
      </c>
      <c r="J492" s="11" t="s">
        <v>13</v>
      </c>
      <c r="K492">
        <v>0</v>
      </c>
      <c r="L492">
        <v>0</v>
      </c>
    </row>
    <row r="493" spans="1:12" x14ac:dyDescent="0.3">
      <c r="A493" s="11" t="s">
        <v>166</v>
      </c>
      <c r="B493" s="11" t="s">
        <v>50</v>
      </c>
      <c r="C493" s="11" t="s">
        <v>125</v>
      </c>
      <c r="D493">
        <v>414</v>
      </c>
      <c r="E493" s="11" t="s">
        <v>158</v>
      </c>
      <c r="F493" s="11" t="s">
        <v>12</v>
      </c>
      <c r="G493">
        <v>6</v>
      </c>
      <c r="H493" s="11" t="s">
        <v>137</v>
      </c>
      <c r="I493" s="11" t="s">
        <v>150</v>
      </c>
      <c r="J493" s="11" t="s">
        <v>76</v>
      </c>
      <c r="K493">
        <v>0</v>
      </c>
      <c r="L493">
        <v>0</v>
      </c>
    </row>
    <row r="494" spans="1:12" x14ac:dyDescent="0.3">
      <c r="A494" s="11" t="s">
        <v>8</v>
      </c>
      <c r="B494" s="11" t="s">
        <v>9</v>
      </c>
      <c r="C494" s="11" t="s">
        <v>23</v>
      </c>
      <c r="D494">
        <v>150</v>
      </c>
      <c r="E494" s="11" t="s">
        <v>62</v>
      </c>
      <c r="F494" s="11" t="s">
        <v>12</v>
      </c>
      <c r="G494">
        <v>22</v>
      </c>
      <c r="H494" s="11" t="s">
        <v>135</v>
      </c>
      <c r="I494" s="11" t="s">
        <v>150</v>
      </c>
      <c r="J494" s="11" t="s">
        <v>17</v>
      </c>
      <c r="K494">
        <v>0</v>
      </c>
      <c r="L494">
        <v>0</v>
      </c>
    </row>
    <row r="495" spans="1:12" x14ac:dyDescent="0.3">
      <c r="A495" s="11" t="s">
        <v>166</v>
      </c>
      <c r="B495" s="11" t="s">
        <v>34</v>
      </c>
      <c r="C495" s="11" t="s">
        <v>104</v>
      </c>
      <c r="D495">
        <v>109</v>
      </c>
      <c r="E495" s="11" t="s">
        <v>158</v>
      </c>
      <c r="F495" s="11" t="s">
        <v>12</v>
      </c>
      <c r="G495">
        <v>62</v>
      </c>
      <c r="H495" s="11" t="s">
        <v>133</v>
      </c>
      <c r="I495" s="11" t="s">
        <v>150</v>
      </c>
      <c r="J495" s="11" t="s">
        <v>49</v>
      </c>
      <c r="K495">
        <v>0</v>
      </c>
      <c r="L495">
        <v>0</v>
      </c>
    </row>
    <row r="496" spans="1:12" x14ac:dyDescent="0.3">
      <c r="A496" s="11" t="s">
        <v>8</v>
      </c>
      <c r="B496" s="11" t="s">
        <v>29</v>
      </c>
      <c r="C496" s="11" t="s">
        <v>37</v>
      </c>
      <c r="D496">
        <v>1</v>
      </c>
      <c r="E496" s="11" t="s">
        <v>11</v>
      </c>
      <c r="F496" s="11" t="s">
        <v>12</v>
      </c>
      <c r="G496">
        <v>26</v>
      </c>
      <c r="H496" s="11" t="s">
        <v>133</v>
      </c>
      <c r="I496" s="11" t="s">
        <v>150</v>
      </c>
      <c r="J496" s="11" t="s">
        <v>13</v>
      </c>
      <c r="K496">
        <v>0</v>
      </c>
      <c r="L496">
        <v>0</v>
      </c>
    </row>
    <row r="497" spans="1:12" x14ac:dyDescent="0.3">
      <c r="A497" s="11" t="s">
        <v>8</v>
      </c>
      <c r="B497" s="11" t="s">
        <v>50</v>
      </c>
      <c r="C497" s="11" t="s">
        <v>50</v>
      </c>
      <c r="D497">
        <v>10</v>
      </c>
      <c r="E497" s="11" t="s">
        <v>158</v>
      </c>
      <c r="F497" s="11" t="s">
        <v>12</v>
      </c>
      <c r="G497">
        <v>46</v>
      </c>
      <c r="H497" s="11" t="s">
        <v>133</v>
      </c>
      <c r="I497" s="11" t="s">
        <v>150</v>
      </c>
      <c r="J497" s="11" t="s">
        <v>19</v>
      </c>
      <c r="K497">
        <v>0</v>
      </c>
      <c r="L497">
        <v>0</v>
      </c>
    </row>
    <row r="498" spans="1:12" x14ac:dyDescent="0.3">
      <c r="A498" s="11" t="s">
        <v>166</v>
      </c>
      <c r="B498" s="11" t="s">
        <v>14</v>
      </c>
      <c r="C498" s="11" t="s">
        <v>18</v>
      </c>
      <c r="D498">
        <v>2</v>
      </c>
      <c r="E498" s="11" t="s">
        <v>158</v>
      </c>
      <c r="F498" s="11" t="s">
        <v>12</v>
      </c>
      <c r="G498">
        <v>45</v>
      </c>
      <c r="H498" s="11" t="s">
        <v>132</v>
      </c>
      <c r="I498" s="11" t="s">
        <v>150</v>
      </c>
      <c r="J498" s="11" t="s">
        <v>19</v>
      </c>
      <c r="K498">
        <v>0</v>
      </c>
      <c r="L498">
        <v>0</v>
      </c>
    </row>
    <row r="499" spans="1:12" x14ac:dyDescent="0.3">
      <c r="A499" s="11" t="s">
        <v>8</v>
      </c>
      <c r="B499" s="11" t="s">
        <v>29</v>
      </c>
      <c r="C499" s="11" t="s">
        <v>93</v>
      </c>
      <c r="D499">
        <v>1</v>
      </c>
      <c r="E499" s="11" t="s">
        <v>25</v>
      </c>
      <c r="F499" s="11" t="s">
        <v>35</v>
      </c>
      <c r="G499">
        <v>20</v>
      </c>
      <c r="H499" s="11" t="s">
        <v>138</v>
      </c>
      <c r="I499" s="11" t="s">
        <v>150</v>
      </c>
      <c r="J499" s="11" t="s">
        <v>17</v>
      </c>
      <c r="K499">
        <v>0</v>
      </c>
      <c r="L499">
        <v>0</v>
      </c>
    </row>
    <row r="500" spans="1:12" x14ac:dyDescent="0.3">
      <c r="A500" s="11" t="s">
        <v>38</v>
      </c>
      <c r="B500" s="11" t="s">
        <v>29</v>
      </c>
      <c r="C500" s="11" t="s">
        <v>100</v>
      </c>
      <c r="D500">
        <v>4</v>
      </c>
      <c r="E500" s="11" t="s">
        <v>39</v>
      </c>
      <c r="F500" s="11" t="s">
        <v>12</v>
      </c>
      <c r="G500">
        <v>49</v>
      </c>
      <c r="H500" s="11" t="s">
        <v>137</v>
      </c>
      <c r="I500" s="11" t="s">
        <v>150</v>
      </c>
      <c r="J500" s="11" t="s">
        <v>19</v>
      </c>
      <c r="K500">
        <v>0</v>
      </c>
      <c r="L500">
        <v>0</v>
      </c>
    </row>
    <row r="501" spans="1:12" x14ac:dyDescent="0.3">
      <c r="A501" s="11" t="s">
        <v>166</v>
      </c>
      <c r="B501" s="11" t="s">
        <v>14</v>
      </c>
      <c r="C501" s="11" t="s">
        <v>18</v>
      </c>
      <c r="D501">
        <v>2</v>
      </c>
      <c r="E501" s="11" t="s">
        <v>158</v>
      </c>
      <c r="F501" s="11" t="s">
        <v>12</v>
      </c>
      <c r="G501">
        <v>45</v>
      </c>
      <c r="H501" s="11" t="s">
        <v>132</v>
      </c>
      <c r="I501" s="11" t="s">
        <v>150</v>
      </c>
      <c r="J501" s="11" t="s">
        <v>19</v>
      </c>
      <c r="K501">
        <v>0</v>
      </c>
      <c r="L501">
        <v>0</v>
      </c>
    </row>
    <row r="502" spans="1:12" x14ac:dyDescent="0.3">
      <c r="A502" s="11" t="s">
        <v>166</v>
      </c>
      <c r="B502" s="11" t="s">
        <v>14</v>
      </c>
      <c r="C502" s="11" t="s">
        <v>18</v>
      </c>
      <c r="D502">
        <v>2</v>
      </c>
      <c r="E502" s="11" t="s">
        <v>158</v>
      </c>
      <c r="F502" s="11" t="s">
        <v>12</v>
      </c>
      <c r="G502">
        <v>27</v>
      </c>
      <c r="H502" s="11" t="s">
        <v>137</v>
      </c>
      <c r="I502" s="11" t="s">
        <v>150</v>
      </c>
      <c r="J502" s="11" t="s">
        <v>13</v>
      </c>
      <c r="K502">
        <v>0</v>
      </c>
      <c r="L502">
        <v>0</v>
      </c>
    </row>
    <row r="503" spans="1:12" x14ac:dyDescent="0.3">
      <c r="A503" s="11" t="s">
        <v>22</v>
      </c>
      <c r="B503" s="11" t="s">
        <v>29</v>
      </c>
      <c r="C503" s="11" t="s">
        <v>105</v>
      </c>
      <c r="D503">
        <v>154</v>
      </c>
      <c r="E503" s="11" t="s">
        <v>62</v>
      </c>
      <c r="F503" s="11" t="s">
        <v>35</v>
      </c>
      <c r="G503">
        <v>21</v>
      </c>
      <c r="H503" s="11" t="s">
        <v>137</v>
      </c>
      <c r="I503" s="11" t="s">
        <v>150</v>
      </c>
      <c r="J503" s="11" t="s">
        <v>17</v>
      </c>
      <c r="K503">
        <v>0</v>
      </c>
      <c r="L503">
        <v>0</v>
      </c>
    </row>
    <row r="504" spans="1:12" x14ac:dyDescent="0.3">
      <c r="A504" s="11" t="s">
        <v>22</v>
      </c>
      <c r="B504" s="11" t="s">
        <v>14</v>
      </c>
      <c r="C504" s="11" t="s">
        <v>15</v>
      </c>
      <c r="D504">
        <v>34</v>
      </c>
      <c r="E504" s="11" t="s">
        <v>11</v>
      </c>
      <c r="F504" s="11" t="s">
        <v>12</v>
      </c>
      <c r="G504">
        <v>28</v>
      </c>
      <c r="H504" s="11" t="s">
        <v>136</v>
      </c>
      <c r="I504" s="11" t="s">
        <v>150</v>
      </c>
      <c r="J504" s="11" t="s">
        <v>13</v>
      </c>
      <c r="K504">
        <v>0</v>
      </c>
      <c r="L504">
        <v>0</v>
      </c>
    </row>
    <row r="505" spans="1:12" x14ac:dyDescent="0.3">
      <c r="A505" s="11" t="s">
        <v>8</v>
      </c>
      <c r="B505" s="11" t="s">
        <v>29</v>
      </c>
      <c r="C505" s="11" t="s">
        <v>47</v>
      </c>
      <c r="D505">
        <v>3</v>
      </c>
      <c r="E505" s="11" t="s">
        <v>11</v>
      </c>
      <c r="F505" s="11" t="s">
        <v>12</v>
      </c>
      <c r="G505" t="s">
        <v>68</v>
      </c>
      <c r="H505" s="11" t="s">
        <v>136</v>
      </c>
      <c r="I505" s="11" t="s">
        <v>150</v>
      </c>
      <c r="J505" s="11" t="s">
        <v>68</v>
      </c>
      <c r="K505">
        <v>0</v>
      </c>
      <c r="L505">
        <v>0</v>
      </c>
    </row>
    <row r="506" spans="1:12" x14ac:dyDescent="0.3">
      <c r="A506" s="11" t="s">
        <v>8</v>
      </c>
      <c r="B506" s="11" t="s">
        <v>64</v>
      </c>
      <c r="C506" s="11" t="s">
        <v>101</v>
      </c>
      <c r="D506">
        <v>32</v>
      </c>
      <c r="E506" s="11" t="s">
        <v>11</v>
      </c>
      <c r="F506" s="11" t="s">
        <v>35</v>
      </c>
      <c r="G506">
        <v>28</v>
      </c>
      <c r="H506" s="11" t="s">
        <v>136</v>
      </c>
      <c r="I506" s="11" t="s">
        <v>150</v>
      </c>
      <c r="J506" s="11" t="s">
        <v>13</v>
      </c>
      <c r="K506">
        <v>0</v>
      </c>
      <c r="L506">
        <v>0</v>
      </c>
    </row>
    <row r="507" spans="1:12" x14ac:dyDescent="0.3">
      <c r="A507" s="11"/>
      <c r="B507" s="11"/>
      <c r="C507" s="11"/>
      <c r="E507" s="11"/>
      <c r="F507" s="11"/>
      <c r="H507" s="11"/>
      <c r="I507" s="11"/>
      <c r="J507" s="11" t="s">
        <v>167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5A6DFB-78A5-46DB-BB6F-B2F6374FCA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</vt:lpstr>
      <vt:lpstr>Tablas Dinámicas</vt:lpstr>
      <vt:lpstr>Power 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Madriz</dc:creator>
  <cp:lastModifiedBy>Kevin Madriz</cp:lastModifiedBy>
  <dcterms:created xsi:type="dcterms:W3CDTF">2025-03-25T03:35:22Z</dcterms:created>
  <dcterms:modified xsi:type="dcterms:W3CDTF">2025-03-25T20:02:48Z</dcterms:modified>
</cp:coreProperties>
</file>